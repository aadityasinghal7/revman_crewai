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"/>
    </mc:Choice>
  </mc:AlternateContent>
  <xr:revisionPtr revIDLastSave="0" documentId="8_{0AA89260-8720-4988-BC56-22AC02704366}" xr6:coauthVersionLast="47" xr6:coauthVersionMax="47" xr10:uidLastSave="{00000000-0000-0000-0000-000000000000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Report'!$A$8:$N$190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N124" i="1" s="1"/>
  <c r="L25" i="1"/>
  <c r="M25" i="1"/>
  <c r="L172" i="1"/>
  <c r="M172" i="1"/>
  <c r="L94" i="1"/>
  <c r="M94" i="1"/>
  <c r="L66" i="1"/>
  <c r="M66" i="1"/>
  <c r="N66" i="1" s="1"/>
  <c r="L125" i="1"/>
  <c r="M125" i="1"/>
  <c r="N125" i="1"/>
  <c r="L26" i="1"/>
  <c r="M26" i="1"/>
  <c r="L173" i="1"/>
  <c r="M173" i="1"/>
  <c r="L97" i="1"/>
  <c r="M97" i="1"/>
  <c r="L67" i="1"/>
  <c r="M67" i="1"/>
  <c r="N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N184" i="1" s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N176" i="1" s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N167" i="1" s="1"/>
  <c r="L122" i="1"/>
  <c r="M122" i="1"/>
  <c r="L77" i="1"/>
  <c r="M77" i="1"/>
  <c r="L144" i="1"/>
  <c r="M144" i="1"/>
  <c r="L42" i="1"/>
  <c r="M42" i="1"/>
  <c r="L43" i="1"/>
  <c r="M43" i="1"/>
  <c r="N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N131" i="1" s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N153" i="1" s="1"/>
  <c r="L19" i="1"/>
  <c r="N19" i="1" s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N31" i="1" s="1"/>
  <c r="L183" i="1"/>
  <c r="M183" i="1"/>
  <c r="L168" i="1"/>
  <c r="M168" i="1"/>
  <c r="L44" i="1"/>
  <c r="N44" i="1" s="1"/>
  <c r="M44" i="1"/>
  <c r="L53" i="1"/>
  <c r="M53" i="1"/>
  <c r="L62" i="1"/>
  <c r="M62" i="1"/>
  <c r="N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N106" i="1"/>
  <c r="L16" i="1"/>
  <c r="M16" i="1"/>
  <c r="L156" i="1"/>
  <c r="M156" i="1"/>
  <c r="L101" i="1"/>
  <c r="N101" i="1" s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N79" i="1" s="1"/>
  <c r="L146" i="1"/>
  <c r="M146" i="1"/>
  <c r="L95" i="1"/>
  <c r="M95" i="1"/>
  <c r="L158" i="1"/>
  <c r="N158" i="1" s="1"/>
  <c r="M158" i="1"/>
  <c r="L92" i="1"/>
  <c r="M92" i="1"/>
  <c r="L55" i="1"/>
  <c r="M55" i="1"/>
  <c r="L118" i="1"/>
  <c r="M118" i="1"/>
  <c r="N118" i="1" s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N164" i="1"/>
  <c r="L35" i="1"/>
  <c r="M35" i="1"/>
  <c r="L36" i="1"/>
  <c r="M36" i="1"/>
  <c r="L85" i="1"/>
  <c r="M85" i="1"/>
  <c r="L109" i="1"/>
  <c r="N109" i="1" s="1"/>
  <c r="M109" i="1"/>
  <c r="L110" i="1"/>
  <c r="M110" i="1"/>
  <c r="L86" i="1"/>
  <c r="M86" i="1"/>
  <c r="L111" i="1"/>
  <c r="M111" i="1"/>
  <c r="N111" i="1" s="1"/>
  <c r="L20" i="1"/>
  <c r="M20" i="1"/>
  <c r="L21" i="1"/>
  <c r="M21" i="1"/>
  <c r="L74" i="1"/>
  <c r="M74" i="1"/>
  <c r="L72" i="1"/>
  <c r="M72" i="1"/>
  <c r="L61" i="1"/>
  <c r="N61" i="1" s="1"/>
  <c r="M61" i="1"/>
  <c r="L39" i="1"/>
  <c r="M39" i="1"/>
  <c r="L11" i="1"/>
  <c r="M11" i="1"/>
  <c r="L70" i="1"/>
  <c r="M70" i="1"/>
  <c r="N70" i="1" s="1"/>
  <c r="L59" i="1"/>
  <c r="M59" i="1"/>
  <c r="L58" i="1"/>
  <c r="M58" i="1"/>
  <c r="L63" i="1"/>
  <c r="M63" i="1"/>
  <c r="L188" i="1"/>
  <c r="M188" i="1"/>
  <c r="L112" i="1"/>
  <c r="M112" i="1"/>
  <c r="N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N189" i="1"/>
  <c r="L104" i="1"/>
  <c r="M104" i="1"/>
  <c r="L180" i="1"/>
  <c r="M180" i="1"/>
  <c r="L181" i="1"/>
  <c r="M181" i="1"/>
  <c r="L96" i="1"/>
  <c r="M96" i="1"/>
  <c r="N96" i="1" s="1"/>
  <c r="L142" i="1"/>
  <c r="M142" i="1"/>
  <c r="L115" i="1"/>
  <c r="M115" i="1"/>
  <c r="L83" i="1"/>
  <c r="M83" i="1"/>
  <c r="N83" i="1" s="1"/>
  <c r="L71" i="1"/>
  <c r="M71" i="1"/>
  <c r="L38" i="1"/>
  <c r="M38" i="1"/>
  <c r="N38" i="1" s="1"/>
  <c r="M149" i="1"/>
  <c r="L149" i="1"/>
  <c r="N169" i="1" l="1"/>
  <c r="N171" i="1"/>
  <c r="N119" i="1"/>
  <c r="N65" i="1"/>
  <c r="N25" i="1"/>
  <c r="N94" i="1"/>
  <c r="N26" i="1"/>
  <c r="N64" i="1"/>
  <c r="N126" i="1"/>
  <c r="N175" i="1"/>
  <c r="N128" i="1"/>
  <c r="N76" i="1"/>
  <c r="N17" i="1"/>
  <c r="N122" i="1"/>
  <c r="N77" i="1"/>
  <c r="N82" i="1"/>
  <c r="N117" i="1"/>
  <c r="N132" i="1"/>
  <c r="N166" i="1"/>
  <c r="N68" i="1"/>
  <c r="N140" i="1"/>
  <c r="N183" i="1"/>
  <c r="N137" i="1"/>
  <c r="N89" i="1"/>
  <c r="N146" i="1"/>
  <c r="N159" i="1"/>
  <c r="N35" i="1"/>
  <c r="N74" i="1"/>
  <c r="N69" i="1"/>
  <c r="N20" i="1"/>
  <c r="N59" i="1"/>
  <c r="N107" i="1"/>
  <c r="N85" i="1"/>
  <c r="N71" i="1"/>
  <c r="N181" i="1"/>
  <c r="N37" i="1"/>
  <c r="N113" i="1"/>
  <c r="N99" i="1"/>
  <c r="N78" i="1"/>
  <c r="N154" i="1"/>
  <c r="N144" i="1"/>
  <c r="N182" i="1"/>
  <c r="N14" i="1"/>
  <c r="N185" i="1"/>
  <c r="N190" i="1"/>
  <c r="N149" i="1"/>
  <c r="N165" i="1"/>
  <c r="N147" i="1"/>
  <c r="N100" i="1"/>
  <c r="N54" i="1"/>
  <c r="N188" i="1"/>
  <c r="N56" i="1"/>
  <c r="N53" i="1"/>
  <c r="N51" i="1"/>
  <c r="N28" i="1"/>
  <c r="N93" i="1"/>
  <c r="N187" i="1"/>
  <c r="N47" i="1"/>
  <c r="N46" i="1"/>
  <c r="N34" i="1"/>
  <c r="N57" i="1"/>
  <c r="N155" i="1"/>
  <c r="N30" i="1"/>
  <c r="N179" i="1"/>
  <c r="N50" i="1"/>
  <c r="N152" i="1"/>
  <c r="N90" i="1"/>
  <c r="N170" i="1"/>
  <c r="N150" i="1"/>
  <c r="N139" i="1"/>
  <c r="N163" i="1"/>
  <c r="N13" i="1"/>
  <c r="N87" i="1"/>
  <c r="N58" i="1"/>
  <c r="N186" i="1"/>
  <c r="N168" i="1"/>
  <c r="N178" i="1"/>
  <c r="N81" i="1"/>
  <c r="N174" i="1"/>
  <c r="N48" i="1"/>
  <c r="N12" i="1"/>
  <c r="N115" i="1"/>
  <c r="N39" i="1"/>
  <c r="N86" i="1"/>
  <c r="N92" i="1"/>
  <c r="N45" i="1"/>
  <c r="N141" i="1"/>
  <c r="N52" i="1"/>
  <c r="N121" i="1"/>
  <c r="N127" i="1"/>
  <c r="N172" i="1"/>
  <c r="N40" i="1"/>
  <c r="N180" i="1"/>
  <c r="N102" i="1"/>
  <c r="N21" i="1"/>
  <c r="N36" i="1"/>
  <c r="N33" i="1"/>
  <c r="N156" i="1"/>
  <c r="N88" i="1"/>
  <c r="N134" i="1"/>
  <c r="N23" i="1"/>
  <c r="N177" i="1"/>
  <c r="N75" i="1"/>
  <c r="N73" i="1"/>
  <c r="N105" i="1"/>
  <c r="N142" i="1"/>
  <c r="N104" i="1"/>
  <c r="N114" i="1"/>
  <c r="N110" i="1"/>
  <c r="N162" i="1"/>
  <c r="N157" i="1"/>
  <c r="N16" i="1"/>
  <c r="N91" i="1"/>
  <c r="N133" i="1"/>
  <c r="N29" i="1"/>
  <c r="N42" i="1"/>
  <c r="N49" i="1"/>
  <c r="N18" i="1"/>
  <c r="N97" i="1"/>
  <c r="N10" i="1"/>
  <c r="N143" i="1"/>
  <c r="N9" i="1"/>
  <c r="N116" i="1"/>
  <c r="N161" i="1"/>
  <c r="N160" i="1"/>
  <c r="N145" i="1"/>
  <c r="N136" i="1"/>
  <c r="N130" i="1"/>
  <c r="N151" i="1"/>
  <c r="N15" i="1"/>
  <c r="N27" i="1"/>
  <c r="N103" i="1"/>
  <c r="N138" i="1"/>
  <c r="N22" i="1"/>
  <c r="N63" i="1"/>
  <c r="N72" i="1"/>
  <c r="N98" i="1"/>
  <c r="N32" i="1"/>
  <c r="N95" i="1"/>
  <c r="N84" i="1"/>
  <c r="N173" i="1"/>
  <c r="N60" i="1"/>
  <c r="N24" i="1"/>
  <c r="N123" i="1"/>
  <c r="N11" i="1"/>
  <c r="N108" i="1"/>
  <c r="N55" i="1"/>
  <c r="N135" i="1"/>
  <c r="N148" i="1"/>
  <c r="N129" i="1"/>
  <c r="N41" i="1"/>
  <c r="N80" i="1"/>
  <c r="N120" i="1"/>
</calcChain>
</file>

<file path=xl/sharedStrings.xml><?xml version="1.0" encoding="utf-8"?>
<sst xmlns="http://schemas.openxmlformats.org/spreadsheetml/2006/main" count="924" uniqueCount="151">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</sst>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52400"/>
          <a:ext cx="1379536" cy="1023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N190"/>
  <sheetViews>
    <sheetView tabSelected="1" zoomScale="55" zoomScaleNormal="55" workbookViewId="0">
      <selection activeCell="C8" sqref="C8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3" width="8" style="1"/>
    <col min="14" max="14" width="50.7265625" style="1" customWidth="1"/>
    <col min="15" max="16384" width="8" style="1"/>
  </cols>
  <sheetData>
    <row r="1" spans="1:14">
      <c r="A1" s="1"/>
      <c r="B1" s="1"/>
      <c r="C1" s="1"/>
      <c r="D1" s="1"/>
    </row>
    <row r="2" spans="1:14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4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4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4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4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4">
      <c r="A7" s="1"/>
      <c r="B7" s="1"/>
      <c r="C7" s="1"/>
      <c r="D7" s="1"/>
    </row>
    <row r="8" spans="1:14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</row>
    <row r="9" spans="1:14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  <c r="N9" s="1" t="str">
        <f t="shared" ref="N9:N40" si="2">PROPER($D9)&amp;" "&amp;$H9&amp;$L9&amp;" "&amp;$M9&amp;"$"&amp;ABS($K9)&amp;" to $"&amp;$J9</f>
        <v>Steam Whistle 48B -$10 to $85.99</v>
      </c>
    </row>
    <row r="10" spans="1:14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  <c r="N10" s="1" t="str">
        <f t="shared" si="2"/>
        <v>Crest Super 24TC -$8.85 to $74.82</v>
      </c>
    </row>
    <row r="11" spans="1:14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  <c r="N11" s="1" t="str">
        <f t="shared" si="2"/>
        <v>Colt 45 24TC -$8.07 to $77.95</v>
      </c>
    </row>
    <row r="12" spans="1:14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  <c r="N12" s="1" t="str">
        <f t="shared" si="2"/>
        <v>Beaus Lug Lite Lager 48C -$8 to $71.99</v>
      </c>
    </row>
    <row r="13" spans="1:14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  <c r="N13" s="1" t="str">
        <f t="shared" si="2"/>
        <v>Muskoka Tread Light 48C -$8 to $78.99</v>
      </c>
    </row>
    <row r="14" spans="1:14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  <c r="N14" s="1" t="str">
        <f t="shared" si="2"/>
        <v>Heineken Nv 24B -$6.2 to $54.5</v>
      </c>
    </row>
    <row r="15" spans="1:14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  <c r="N15" s="1" t="str">
        <f t="shared" si="2"/>
        <v>Heineken Silver 24B -$6.2 to $54.5</v>
      </c>
    </row>
    <row r="16" spans="1:14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  <c r="N16" s="1" t="str">
        <f t="shared" si="2"/>
        <v>James Ready 5.5 60C -$6 to $84.99</v>
      </c>
    </row>
    <row r="17" spans="1:14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  <c r="N17" s="1" t="str">
        <f t="shared" si="2"/>
        <v>Budweiser 30C -$5.5 to $45.99</v>
      </c>
    </row>
    <row r="18" spans="1:14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  <c r="N18" s="1" t="str">
        <f t="shared" si="2"/>
        <v>Heineken Silver 24B -$5 to $44.99</v>
      </c>
    </row>
    <row r="19" spans="1:14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  <c r="N19" s="1" t="str">
        <f t="shared" si="2"/>
        <v>Creemore Lager 24C -$5 to $42.99</v>
      </c>
    </row>
    <row r="20" spans="1:14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  <c r="N20" s="1" t="str">
        <f t="shared" si="2"/>
        <v>Faxe 10 Extra 24TC -$5 to $80.76</v>
      </c>
    </row>
    <row r="21" spans="1:14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  <c r="N21" s="1" t="str">
        <f t="shared" si="2"/>
        <v>Faxe Premium Lager 24TC -$5 to $45.35</v>
      </c>
    </row>
    <row r="22" spans="1:14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  <c r="N22" s="1" t="str">
        <f t="shared" si="2"/>
        <v>Sleeman Clear 2.0 30C -$5 to $44.99</v>
      </c>
    </row>
    <row r="23" spans="1:14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  <c r="N23" s="1" t="str">
        <f t="shared" si="2"/>
        <v>Coors Original 30C -$4.5 to $48.99</v>
      </c>
    </row>
    <row r="24" spans="1:14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  <c r="N24" s="1" t="str">
        <f t="shared" si="2"/>
        <v>Beaus Lug Lite Lager 24C -$4 to $38.99</v>
      </c>
    </row>
    <row r="25" spans="1:14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  <c r="N25" s="1" t="str">
        <f t="shared" si="2"/>
        <v>Gone Fishin Light 12TC -$4 to $26.99</v>
      </c>
    </row>
    <row r="26" spans="1:14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  <c r="N26" s="1" t="str">
        <f t="shared" si="2"/>
        <v>Longhorn Lager 12TC -$4 to $27.99</v>
      </c>
    </row>
    <row r="27" spans="1:14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  <c r="N27" s="1" t="str">
        <f t="shared" si="2"/>
        <v>Rough Stock Ipa 12TC -$4 to $30.99</v>
      </c>
    </row>
    <row r="28" spans="1:14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  <c r="N28" s="1" t="str">
        <f t="shared" si="2"/>
        <v>Mill St Organic Lag 24C -$4 to $44.99</v>
      </c>
    </row>
    <row r="29" spans="1:14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  <c r="N29" s="1" t="str">
        <f t="shared" si="2"/>
        <v>Coors Light 28B -$4 to $39.49</v>
      </c>
    </row>
    <row r="30" spans="1:14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  <c r="N30" s="1" t="str">
        <f t="shared" si="2"/>
        <v>Miller High Life 24B -$4 to $35.99</v>
      </c>
    </row>
    <row r="31" spans="1:14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  <c r="N31" s="1" t="str">
        <f t="shared" si="2"/>
        <v>Miller Lite 24B -$4 to $38.99</v>
      </c>
    </row>
    <row r="32" spans="1:14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  <c r="N32" s="1" t="str">
        <f t="shared" si="2"/>
        <v>Muskoka Detour 24C -$4 to $47.49</v>
      </c>
    </row>
    <row r="33" spans="1:14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  <c r="N33" s="1" t="str">
        <f t="shared" si="2"/>
        <v>Headstock Ipa 24TC -$4 to $61.88</v>
      </c>
    </row>
    <row r="34" spans="1:14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  <c r="N34" s="1" t="str">
        <f t="shared" si="2"/>
        <v>Headstock Ipa 24TC -$4 to $61.88</v>
      </c>
    </row>
    <row r="35" spans="1:14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  <c r="N35" s="1" t="str">
        <f t="shared" si="2"/>
        <v>Wicked Awesome Ipa 24TC -$4 to $61.88</v>
      </c>
    </row>
    <row r="36" spans="1:14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  <c r="N36" s="1" t="str">
        <f t="shared" si="2"/>
        <v>Wicked Awesome Ipa 24TC -$4 to $61.88</v>
      </c>
    </row>
    <row r="37" spans="1:14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  <c r="N37" s="1" t="str">
        <f t="shared" si="2"/>
        <v>Steam Whistle 24B -$4 to $48.49</v>
      </c>
    </row>
    <row r="38" spans="1:14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  <c r="N38" s="1" t="str">
        <f t="shared" si="2"/>
        <v>Helles Lager 24TC -$4 to $58.99</v>
      </c>
    </row>
    <row r="39" spans="1:14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  <c r="N39" s="1" t="str">
        <f t="shared" si="2"/>
        <v>Colt 45 12TC -$3.64 to $38.97</v>
      </c>
    </row>
    <row r="40" spans="1:14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  <c r="N40" s="1" t="str">
        <f t="shared" si="2"/>
        <v>Modelo Especial Impt 24B -$3 to $50.99</v>
      </c>
    </row>
    <row r="41" spans="1:14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3">IF(F41&gt;355,"TC",LEFT(E41,1))</f>
        <v>C</v>
      </c>
      <c r="M41" s="1" t="str">
        <f t="shared" ref="M41:M72" si="4">IF(K41&gt;0,"+","-")</f>
        <v>-</v>
      </c>
      <c r="N41" s="1" t="str">
        <f t="shared" ref="N41:N72" si="5">PROPER($D41)&amp;" "&amp;$H41&amp;$L41&amp;" "&amp;$M41&amp;"$"&amp;ABS($K41)&amp;" to $"&amp;$J41</f>
        <v>Busch Lager 30C -$3 to $44.99</v>
      </c>
    </row>
    <row r="42" spans="1:14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3"/>
        <v>B</v>
      </c>
      <c r="M42" s="1" t="str">
        <f t="shared" si="4"/>
        <v>-</v>
      </c>
      <c r="N42" s="1" t="str">
        <f t="shared" si="5"/>
        <v>Keiths 28B -$3 to $42.99</v>
      </c>
    </row>
    <row r="43" spans="1:14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3"/>
        <v>C</v>
      </c>
      <c r="M43" s="1" t="str">
        <f t="shared" si="4"/>
        <v>-</v>
      </c>
      <c r="N43" s="1" t="str">
        <f t="shared" si="5"/>
        <v>Michelob Ultra 30C -$3 to $49.49</v>
      </c>
    </row>
    <row r="44" spans="1:14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3"/>
        <v>C</v>
      </c>
      <c r="M44" s="1" t="str">
        <f t="shared" si="4"/>
        <v>-</v>
      </c>
      <c r="N44" s="1" t="str">
        <f t="shared" si="5"/>
        <v>Molson Canadian 30C -$3 to $47.99</v>
      </c>
    </row>
    <row r="45" spans="1:14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3"/>
        <v>C</v>
      </c>
      <c r="M45" s="1" t="str">
        <f t="shared" si="4"/>
        <v>-</v>
      </c>
      <c r="N45" s="1" t="str">
        <f t="shared" si="5"/>
        <v>Moosehead Lager 30C -$3 to $46.99</v>
      </c>
    </row>
    <row r="46" spans="1:14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3"/>
        <v>B</v>
      </c>
      <c r="M46" s="1" t="str">
        <f t="shared" si="4"/>
        <v>-</v>
      </c>
      <c r="N46" s="1" t="str">
        <f t="shared" si="5"/>
        <v>Sleeman Original Lgr 24B -$3 to $37.99</v>
      </c>
    </row>
    <row r="47" spans="1:14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3"/>
        <v>C</v>
      </c>
      <c r="M47" s="1" t="str">
        <f t="shared" si="4"/>
        <v>-</v>
      </c>
      <c r="N47" s="1" t="str">
        <f t="shared" si="5"/>
        <v>Beaus Lug Lite Lager 12C -$2 to $22.49</v>
      </c>
    </row>
    <row r="48" spans="1:14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3"/>
        <v>C</v>
      </c>
      <c r="M48" s="1" t="str">
        <f t="shared" si="4"/>
        <v>-</v>
      </c>
      <c r="N48" s="1" t="str">
        <f t="shared" si="5"/>
        <v>Red Baron Light 24C -$2 to $33.04</v>
      </c>
    </row>
    <row r="49" spans="1:14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3"/>
        <v>TC</v>
      </c>
      <c r="M49" s="1" t="str">
        <f t="shared" si="4"/>
        <v>-</v>
      </c>
      <c r="N49" s="1" t="str">
        <f t="shared" si="5"/>
        <v>Bud Light 12TC -$2 to $25.99</v>
      </c>
    </row>
    <row r="50" spans="1:14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3"/>
        <v>TC</v>
      </c>
      <c r="M50" s="1" t="str">
        <f t="shared" si="4"/>
        <v>-</v>
      </c>
      <c r="N50" s="1" t="str">
        <f t="shared" si="5"/>
        <v>Stella Artois 12TC -$2 to $32.49</v>
      </c>
    </row>
    <row r="51" spans="1:14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3"/>
        <v>C</v>
      </c>
      <c r="M51" s="1" t="str">
        <f t="shared" si="4"/>
        <v>-</v>
      </c>
      <c r="N51" s="1" t="str">
        <f t="shared" si="5"/>
        <v>Arizona H&amp;H Mixer 12C -$2 to $24.99</v>
      </c>
    </row>
    <row r="52" spans="1:14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3"/>
        <v>C</v>
      </c>
      <c r="M52" s="1" t="str">
        <f t="shared" si="4"/>
        <v>-</v>
      </c>
      <c r="N52" s="1" t="str">
        <f t="shared" si="5"/>
        <v>Coors Selt Slush Flv 12C -$2 to $23.99</v>
      </c>
    </row>
    <row r="53" spans="1:14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3"/>
        <v>TC</v>
      </c>
      <c r="M53" s="1" t="str">
        <f t="shared" si="4"/>
        <v>-</v>
      </c>
      <c r="N53" s="1" t="str">
        <f t="shared" si="5"/>
        <v>Molson Canadian 12TC -$2 to $25.99</v>
      </c>
    </row>
    <row r="54" spans="1:14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3"/>
        <v>C</v>
      </c>
      <c r="M54" s="1" t="str">
        <f t="shared" si="4"/>
        <v>-</v>
      </c>
      <c r="N54" s="1" t="str">
        <f t="shared" si="5"/>
        <v>Vizzy Selt Vp V2 12C -$2 to $24.99</v>
      </c>
    </row>
    <row r="55" spans="1:14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3"/>
        <v>C</v>
      </c>
      <c r="M55" s="1" t="str">
        <f t="shared" si="4"/>
        <v>-</v>
      </c>
      <c r="N55" s="1" t="str">
        <f t="shared" si="5"/>
        <v>Mad Tom Ipa 12C -$2 to $27.59</v>
      </c>
    </row>
    <row r="56" spans="1:14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3"/>
        <v>C</v>
      </c>
      <c r="M56" s="1" t="str">
        <f t="shared" si="4"/>
        <v>-</v>
      </c>
      <c r="N56" s="1" t="str">
        <f t="shared" si="5"/>
        <v>Muskoka Cream Ale 12C -$2 to $27.09</v>
      </c>
    </row>
    <row r="57" spans="1:14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3"/>
        <v>C</v>
      </c>
      <c r="M57" s="1" t="str">
        <f t="shared" si="4"/>
        <v>-</v>
      </c>
      <c r="N57" s="1" t="str">
        <f t="shared" si="5"/>
        <v>Muskoka Venture Pack 12C -$2 to $25.19</v>
      </c>
    </row>
    <row r="58" spans="1:14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3"/>
        <v>TC</v>
      </c>
      <c r="M58" s="1" t="str">
        <f t="shared" si="4"/>
        <v>-</v>
      </c>
      <c r="N58" s="1" t="str">
        <f t="shared" si="5"/>
        <v>Old Milwaukee Ice 18TC -$1.81 to $32.97</v>
      </c>
    </row>
    <row r="59" spans="1:14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3"/>
        <v>TC</v>
      </c>
      <c r="M59" s="1" t="str">
        <f t="shared" si="4"/>
        <v>-</v>
      </c>
      <c r="N59" s="1" t="str">
        <f t="shared" si="5"/>
        <v>Old Milwaukee Ice 12TC -$1.51 to $21.98</v>
      </c>
    </row>
    <row r="60" spans="1:14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3"/>
        <v>C</v>
      </c>
      <c r="M60" s="1" t="str">
        <f t="shared" si="4"/>
        <v>-</v>
      </c>
      <c r="N60" s="1" t="str">
        <f t="shared" si="5"/>
        <v>Collective Lager 12C -$1.5 to $23.49</v>
      </c>
    </row>
    <row r="61" spans="1:14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3"/>
        <v>TC</v>
      </c>
      <c r="M61" s="1" t="str">
        <f t="shared" si="4"/>
        <v>-</v>
      </c>
      <c r="N61" s="1" t="str">
        <f t="shared" si="5"/>
        <v>Colt 45 4TC -$1.35 to $12.99</v>
      </c>
    </row>
    <row r="62" spans="1:14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3"/>
        <v>TC</v>
      </c>
      <c r="M62" s="1" t="str">
        <f t="shared" si="4"/>
        <v>-</v>
      </c>
      <c r="N62" s="1" t="str">
        <f t="shared" si="5"/>
        <v>Molson Canadian 24TC -$1.1 to $51.89</v>
      </c>
    </row>
    <row r="63" spans="1:14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3"/>
        <v>TC</v>
      </c>
      <c r="M63" s="1" t="str">
        <f t="shared" si="4"/>
        <v>-</v>
      </c>
      <c r="N63" s="1" t="str">
        <f t="shared" si="5"/>
        <v>Old Milwaukee Ice 24TC -$1.03 to $43.96</v>
      </c>
    </row>
    <row r="64" spans="1:14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3"/>
        <v>TC</v>
      </c>
      <c r="M64" s="1" t="str">
        <f t="shared" si="4"/>
        <v>-</v>
      </c>
      <c r="N64" s="1" t="str">
        <f t="shared" si="5"/>
        <v>Collective Ransack 6TC -$1 to $18.99</v>
      </c>
    </row>
    <row r="65" spans="1:14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3"/>
        <v>TC</v>
      </c>
      <c r="M65" s="1" t="str">
        <f t="shared" si="4"/>
        <v>-</v>
      </c>
      <c r="N65" s="1" t="str">
        <f t="shared" si="5"/>
        <v>Gone Fishin Light 6TC -$1 to $14.99</v>
      </c>
    </row>
    <row r="66" spans="1:14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3"/>
        <v>TC</v>
      </c>
      <c r="M66" s="1" t="str">
        <f t="shared" si="4"/>
        <v>-</v>
      </c>
      <c r="N66" s="1" t="str">
        <f t="shared" si="5"/>
        <v>Longhorn Lager 6TC -$1 to $15.99</v>
      </c>
    </row>
    <row r="67" spans="1:14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3"/>
        <v>TC</v>
      </c>
      <c r="M67" s="1" t="str">
        <f t="shared" si="4"/>
        <v>-</v>
      </c>
      <c r="N67" s="1" t="str">
        <f t="shared" si="5"/>
        <v>Rough Stock Ipa 6TC -$1 to $16.99</v>
      </c>
    </row>
    <row r="68" spans="1:14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3"/>
        <v>TC</v>
      </c>
      <c r="M68" s="1" t="str">
        <f t="shared" si="4"/>
        <v>-</v>
      </c>
      <c r="N68" s="1" t="str">
        <f t="shared" si="5"/>
        <v>Creemore Light Lager 6TC -$1 to $16.69</v>
      </c>
    </row>
    <row r="69" spans="1:14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3"/>
        <v>C</v>
      </c>
      <c r="M69" s="1" t="str">
        <f t="shared" si="4"/>
        <v>-</v>
      </c>
      <c r="N69" s="1" t="str">
        <f t="shared" si="5"/>
        <v>Moosehead Lager 12C -$1 to $22.89</v>
      </c>
    </row>
    <row r="70" spans="1:14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3"/>
        <v>TC</v>
      </c>
      <c r="M70" s="1" t="str">
        <f t="shared" si="4"/>
        <v>-</v>
      </c>
      <c r="N70" s="1" t="str">
        <f t="shared" si="5"/>
        <v>Old Milwaukee Ice 6TC -$1 to $10.99</v>
      </c>
    </row>
    <row r="71" spans="1:14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3"/>
        <v>TC</v>
      </c>
      <c r="M71" s="1" t="str">
        <f t="shared" si="4"/>
        <v>-</v>
      </c>
      <c r="N71" s="1" t="str">
        <f t="shared" si="5"/>
        <v>Helles Lager 6TC -$1 to $16.49</v>
      </c>
    </row>
    <row r="72" spans="1:14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3"/>
        <v>TC</v>
      </c>
      <c r="M72" s="1" t="str">
        <f t="shared" si="4"/>
        <v>-</v>
      </c>
      <c r="N72" s="1" t="str">
        <f t="shared" si="5"/>
        <v>Colt 45 2TC -$0.85 to $6.5</v>
      </c>
    </row>
    <row r="73" spans="1:14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6">IF(F73&gt;355,"TC",LEFT(E73,1))</f>
        <v>C</v>
      </c>
      <c r="M73" s="1" t="str">
        <f t="shared" ref="M73:M104" si="7">IF(K73&gt;0,"+","-")</f>
        <v>-</v>
      </c>
      <c r="N73" s="1" t="str">
        <f t="shared" ref="N73:N104" si="8">PROPER($D73)&amp;" "&amp;$H73&amp;$L73&amp;" "&amp;$M73&amp;"$"&amp;ABS($K73)&amp;" to $"&amp;$J73</f>
        <v>Na Hazy Pale Ale 4C -$0.75 to $7.7</v>
      </c>
    </row>
    <row r="74" spans="1:14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6"/>
        <v>TC</v>
      </c>
      <c r="M74" s="1" t="str">
        <f t="shared" si="7"/>
        <v>-</v>
      </c>
      <c r="N74" s="1" t="str">
        <f t="shared" si="8"/>
        <v>Colt 45 1TC -$0.51 to $3.25</v>
      </c>
    </row>
    <row r="75" spans="1:14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6"/>
        <v>B</v>
      </c>
      <c r="M75" s="1" t="str">
        <f t="shared" si="7"/>
        <v>-</v>
      </c>
      <c r="N75" s="1" t="str">
        <f t="shared" si="8"/>
        <v>Bud Light 28B -$0.5 to $43.49</v>
      </c>
    </row>
    <row r="76" spans="1:14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6"/>
        <v>B</v>
      </c>
      <c r="M76" s="1" t="str">
        <f t="shared" si="7"/>
        <v>-</v>
      </c>
      <c r="N76" s="1" t="str">
        <f t="shared" si="8"/>
        <v>Budweiser 28B -$0.5 to $43.49</v>
      </c>
    </row>
    <row r="77" spans="1:14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6"/>
        <v>B</v>
      </c>
      <c r="M77" s="1" t="str">
        <f t="shared" si="7"/>
        <v>-</v>
      </c>
      <c r="N77" s="1" t="str">
        <f t="shared" si="8"/>
        <v>Corona 24B -$0.5 to $49.99</v>
      </c>
    </row>
    <row r="78" spans="1:14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6"/>
        <v>TC</v>
      </c>
      <c r="M78" s="1" t="str">
        <f t="shared" si="7"/>
        <v>-</v>
      </c>
      <c r="N78" s="1" t="str">
        <f t="shared" si="8"/>
        <v>Cracked Canoe 12TC -$0.5 to $27.99</v>
      </c>
    </row>
    <row r="79" spans="1:14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6"/>
        <v>TC</v>
      </c>
      <c r="M79" s="1" t="str">
        <f t="shared" si="7"/>
        <v>-</v>
      </c>
      <c r="N79" s="1" t="str">
        <f t="shared" si="8"/>
        <v>Moosehead Lager 12TC -$0.5 to $27.99</v>
      </c>
    </row>
    <row r="80" spans="1:14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6"/>
        <v>C</v>
      </c>
      <c r="M80" s="1" t="str">
        <f t="shared" si="7"/>
        <v>-</v>
      </c>
      <c r="N80" s="1" t="str">
        <f t="shared" si="8"/>
        <v>Bud Light 12C -$0.3 to $23.99</v>
      </c>
    </row>
    <row r="81" spans="1:14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6"/>
        <v>C</v>
      </c>
      <c r="M81" s="1" t="str">
        <f t="shared" si="7"/>
        <v>-</v>
      </c>
      <c r="N81" s="1" t="str">
        <f t="shared" si="8"/>
        <v>Budweiser 12C -$0.3 to $23.99</v>
      </c>
    </row>
    <row r="82" spans="1:14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6"/>
        <v>B</v>
      </c>
      <c r="M82" s="1" t="str">
        <f t="shared" si="7"/>
        <v>-</v>
      </c>
      <c r="N82" s="1" t="str">
        <f t="shared" si="8"/>
        <v>Stella Artois 12B -$0.3 to $28.19</v>
      </c>
    </row>
    <row r="83" spans="1:14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6"/>
        <v>TC</v>
      </c>
      <c r="M83" s="1" t="str">
        <f t="shared" si="7"/>
        <v>-</v>
      </c>
      <c r="N83" s="1" t="str">
        <f t="shared" si="8"/>
        <v>Helles Lager 1TC -$0.3 to $2.85</v>
      </c>
    </row>
    <row r="84" spans="1:14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6"/>
        <v>TC</v>
      </c>
      <c r="M84" s="1" t="str">
        <f t="shared" si="7"/>
        <v>-</v>
      </c>
      <c r="N84" s="1" t="str">
        <f t="shared" si="8"/>
        <v>Hacker Weissbier 1TC -$0.26 to $2.57</v>
      </c>
    </row>
    <row r="85" spans="1:14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6"/>
        <v>TC</v>
      </c>
      <c r="M85" s="1" t="str">
        <f t="shared" si="7"/>
        <v>-</v>
      </c>
      <c r="N85" s="1" t="str">
        <f t="shared" si="8"/>
        <v>Paulaner Hell Munch 1TC -$0.25 to $2.18</v>
      </c>
    </row>
    <row r="86" spans="1:14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6"/>
        <v>TC</v>
      </c>
      <c r="M86" s="1" t="str">
        <f t="shared" si="7"/>
        <v>-</v>
      </c>
      <c r="N86" s="1" t="str">
        <f t="shared" si="8"/>
        <v>Paulaner Weissbier 1TC -$0.25 to $2.76</v>
      </c>
    </row>
    <row r="87" spans="1:14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6"/>
        <v>TC</v>
      </c>
      <c r="M87" s="1" t="str">
        <f t="shared" si="7"/>
        <v>-</v>
      </c>
      <c r="N87" s="1" t="str">
        <f t="shared" si="8"/>
        <v>Alpine Lager 6TC -$0.2 to $14.99</v>
      </c>
    </row>
    <row r="88" spans="1:14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6"/>
        <v>TC</v>
      </c>
      <c r="M88" s="1" t="str">
        <f t="shared" si="7"/>
        <v>-</v>
      </c>
      <c r="N88" s="1" t="str">
        <f t="shared" si="8"/>
        <v>Cracked Canoe 6TC -$0.2 to $14.99</v>
      </c>
    </row>
    <row r="89" spans="1:14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6"/>
        <v>TC</v>
      </c>
      <c r="M89" s="1" t="str">
        <f t="shared" si="7"/>
        <v>-</v>
      </c>
      <c r="N89" s="1" t="str">
        <f t="shared" si="8"/>
        <v>Moosehead Lager 6TC -$0.2 to $14.99</v>
      </c>
    </row>
    <row r="90" spans="1:14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6"/>
        <v>TC</v>
      </c>
      <c r="M90" s="1" t="str">
        <f t="shared" si="7"/>
        <v>-</v>
      </c>
      <c r="N90" s="1" t="str">
        <f t="shared" si="8"/>
        <v>Tyskie Gronie 1TC -$0.15 to $2.34</v>
      </c>
    </row>
    <row r="91" spans="1:14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6"/>
        <v>TC</v>
      </c>
      <c r="M91" s="1" t="str">
        <f t="shared" si="7"/>
        <v>-</v>
      </c>
      <c r="N91" s="1" t="str">
        <f t="shared" si="8"/>
        <v>Grolsch 1TC -$0.15 to $2.3</v>
      </c>
    </row>
    <row r="92" spans="1:14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6"/>
        <v>TC</v>
      </c>
      <c r="M92" s="1" t="str">
        <f t="shared" si="7"/>
        <v>-</v>
      </c>
      <c r="N92" s="1" t="str">
        <f t="shared" si="8"/>
        <v>Moosehead Radler 1TC -$0.06 to $2.99</v>
      </c>
    </row>
    <row r="93" spans="1:14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6"/>
        <v>TC</v>
      </c>
      <c r="M93" s="1" t="str">
        <f t="shared" si="7"/>
        <v>+</v>
      </c>
      <c r="N93" s="1" t="str">
        <f t="shared" si="8"/>
        <v>Munich Gold Lager 1TC +$0.04 to $2.43</v>
      </c>
    </row>
    <row r="94" spans="1:14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6"/>
        <v>TC</v>
      </c>
      <c r="M94" s="1" t="str">
        <f t="shared" si="7"/>
        <v>+</v>
      </c>
      <c r="N94" s="1" t="str">
        <f t="shared" si="8"/>
        <v>Longhorn Lager 1TC +$0.1 to $2.89</v>
      </c>
    </row>
    <row r="95" spans="1:14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6"/>
        <v>TC</v>
      </c>
      <c r="M95" s="1" t="str">
        <f t="shared" si="7"/>
        <v>+</v>
      </c>
      <c r="N95" s="1" t="str">
        <f t="shared" si="8"/>
        <v>Moosehead Light 1TC +$0.1 to $2.69</v>
      </c>
    </row>
    <row r="96" spans="1:14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6"/>
        <v>TC</v>
      </c>
      <c r="M96" s="1" t="str">
        <f t="shared" si="7"/>
        <v>+</v>
      </c>
      <c r="N96" s="1" t="str">
        <f t="shared" si="8"/>
        <v>Stockyards Lager 1TC +$0.18 to $3.32</v>
      </c>
    </row>
    <row r="97" spans="1:14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6"/>
        <v>TC</v>
      </c>
      <c r="M97" s="1" t="str">
        <f t="shared" si="7"/>
        <v>+</v>
      </c>
      <c r="N97" s="1" t="str">
        <f t="shared" si="8"/>
        <v>Rough Stock Ipa 1TC +$0.2 to $3.19</v>
      </c>
    </row>
    <row r="98" spans="1:14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6"/>
        <v>TC</v>
      </c>
      <c r="M98" s="1" t="str">
        <f t="shared" si="7"/>
        <v>+</v>
      </c>
      <c r="N98" s="1" t="str">
        <f t="shared" si="8"/>
        <v>Headstock Ipa 1TC +$0.25 to $3.3</v>
      </c>
    </row>
    <row r="99" spans="1:14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6"/>
        <v>TC</v>
      </c>
      <c r="M99" s="1" t="str">
        <f t="shared" si="7"/>
        <v>+</v>
      </c>
      <c r="N99" s="1" t="str">
        <f t="shared" si="8"/>
        <v>Headstock Ipa 1TC +$0.25 to $3.3</v>
      </c>
    </row>
    <row r="100" spans="1:14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6"/>
        <v>C</v>
      </c>
      <c r="M100" s="1" t="str">
        <f t="shared" si="7"/>
        <v>+</v>
      </c>
      <c r="N100" s="1" t="str">
        <f t="shared" si="8"/>
        <v>James Ready 5.5 15C +$0.5 to $26.49</v>
      </c>
    </row>
    <row r="101" spans="1:14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6"/>
        <v>C</v>
      </c>
      <c r="M101" s="1" t="str">
        <f t="shared" si="7"/>
        <v>+</v>
      </c>
      <c r="N101" s="1" t="str">
        <f t="shared" si="8"/>
        <v>James Ready 6.0 15C +$0.5 to $26.49</v>
      </c>
    </row>
    <row r="102" spans="1:14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6"/>
        <v>B</v>
      </c>
      <c r="M102" s="1" t="str">
        <f t="shared" si="7"/>
        <v>+</v>
      </c>
      <c r="N102" s="1" t="str">
        <f t="shared" si="8"/>
        <v>Steam Whistle 12B +$0.5 to $28.49</v>
      </c>
    </row>
    <row r="103" spans="1:14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6"/>
        <v>TC</v>
      </c>
      <c r="M103" s="1" t="str">
        <f t="shared" si="7"/>
        <v>+</v>
      </c>
      <c r="N103" s="1" t="str">
        <f t="shared" si="8"/>
        <v>Beau'S Lug Tread 6TC +$0.7 to $18.29</v>
      </c>
    </row>
    <row r="104" spans="1:14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6"/>
        <v>TC</v>
      </c>
      <c r="M104" s="1" t="str">
        <f t="shared" si="7"/>
        <v>+</v>
      </c>
      <c r="N104" s="1" t="str">
        <f t="shared" si="8"/>
        <v>Steam Whistle 6TC +$0.7 to $18.29</v>
      </c>
    </row>
    <row r="105" spans="1:14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9">IF(F105&gt;355,"TC",LEFT(E105,1))</f>
        <v>TC</v>
      </c>
      <c r="M105" s="1" t="str">
        <f t="shared" ref="M105:M136" si="10">IF(K105&gt;0,"+","-")</f>
        <v>+</v>
      </c>
      <c r="N105" s="1" t="str">
        <f t="shared" ref="N105:N136" si="11">PROPER($D105)&amp;" "&amp;$H105&amp;$L105&amp;" "&amp;$M105&amp;"$"&amp;ABS($K105)&amp;" to $"&amp;$J105</f>
        <v>Czechvar 24TC +$0.89 to $54.47</v>
      </c>
    </row>
    <row r="106" spans="1:14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9"/>
        <v>C</v>
      </c>
      <c r="M106" s="1" t="str">
        <f t="shared" si="10"/>
        <v>+</v>
      </c>
      <c r="N106" s="1" t="str">
        <f t="shared" si="11"/>
        <v>James Ready 5.5 30C +$1 to $44.49</v>
      </c>
    </row>
    <row r="107" spans="1:14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9"/>
        <v>TC</v>
      </c>
      <c r="M107" s="1" t="str">
        <f t="shared" si="10"/>
        <v>+</v>
      </c>
      <c r="N107" s="1" t="str">
        <f t="shared" si="11"/>
        <v>Muskoka Survival Mix 6TC +$1 to $18.89</v>
      </c>
    </row>
    <row r="108" spans="1:14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9"/>
        <v>TC</v>
      </c>
      <c r="M108" s="1" t="str">
        <f t="shared" si="10"/>
        <v>+</v>
      </c>
      <c r="N108" s="1" t="str">
        <f t="shared" si="11"/>
        <v>Muskoka Survl Mix 24 6TC +$1 to $18.89</v>
      </c>
    </row>
    <row r="109" spans="1:14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9"/>
        <v>TC</v>
      </c>
      <c r="M109" s="1" t="str">
        <f t="shared" si="10"/>
        <v>+</v>
      </c>
      <c r="N109" s="1" t="str">
        <f t="shared" si="11"/>
        <v>Paulaner Hell Munch 4TC +$1 to $9.56</v>
      </c>
    </row>
    <row r="110" spans="1:14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9"/>
        <v>TC</v>
      </c>
      <c r="M110" s="1" t="str">
        <f t="shared" si="10"/>
        <v>+</v>
      </c>
      <c r="N110" s="1" t="str">
        <f t="shared" si="11"/>
        <v>Paulaner Pils 4TC +$1 to $10.49</v>
      </c>
    </row>
    <row r="111" spans="1:14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9"/>
        <v>TC</v>
      </c>
      <c r="M111" s="1" t="str">
        <f t="shared" si="10"/>
        <v>+</v>
      </c>
      <c r="N111" s="1" t="str">
        <f t="shared" si="11"/>
        <v>Paulaner Weissbier 4TC +$1 to $11.68</v>
      </c>
    </row>
    <row r="112" spans="1:14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9"/>
        <v>TC</v>
      </c>
      <c r="M112" s="1" t="str">
        <f t="shared" si="10"/>
        <v>+</v>
      </c>
      <c r="N112" s="1" t="str">
        <f t="shared" si="11"/>
        <v>Pbr Light 6TC +$1 to $11.99</v>
      </c>
    </row>
    <row r="113" spans="1:14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9"/>
        <v>C</v>
      </c>
      <c r="M113" s="1" t="str">
        <f t="shared" si="10"/>
        <v>+</v>
      </c>
      <c r="N113" s="1" t="str">
        <f t="shared" si="11"/>
        <v>Sapporo 0.0% 6C +$1 to $12.29</v>
      </c>
    </row>
    <row r="114" spans="1:14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9"/>
        <v>C</v>
      </c>
      <c r="M114" s="1" t="str">
        <f t="shared" si="10"/>
        <v>+</v>
      </c>
      <c r="N114" s="1" t="str">
        <f t="shared" si="11"/>
        <v>Steam Whistle 24C +$1 to $51.99</v>
      </c>
    </row>
    <row r="115" spans="1:14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9"/>
        <v>TC</v>
      </c>
      <c r="M115" s="1" t="str">
        <f t="shared" si="10"/>
        <v>+</v>
      </c>
      <c r="N115" s="1" t="str">
        <f t="shared" si="11"/>
        <v>Bavaria 8.6 4TC +$1 to $12.39</v>
      </c>
    </row>
    <row r="116" spans="1:14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9"/>
        <v>TC</v>
      </c>
      <c r="M116" s="1" t="str">
        <f t="shared" si="10"/>
        <v>+</v>
      </c>
      <c r="N116" s="1" t="str">
        <f t="shared" si="11"/>
        <v>Pbr Light 24TC +$1.03 to $44.99</v>
      </c>
    </row>
    <row r="117" spans="1:14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9"/>
        <v>TC</v>
      </c>
      <c r="M117" s="1" t="str">
        <f t="shared" si="10"/>
        <v>+</v>
      </c>
      <c r="N117" s="1" t="str">
        <f t="shared" si="11"/>
        <v>Coors Light 24TC +$1.1 to $52.99</v>
      </c>
    </row>
    <row r="118" spans="1:14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9"/>
        <v>TC</v>
      </c>
      <c r="M118" s="1" t="str">
        <f t="shared" si="10"/>
        <v>+</v>
      </c>
      <c r="N118" s="1" t="str">
        <f t="shared" si="11"/>
        <v>Mad Tom Ipa 6TC +$1.25 to $19.39</v>
      </c>
    </row>
    <row r="119" spans="1:14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9"/>
        <v>TC</v>
      </c>
      <c r="M119" s="1" t="str">
        <f t="shared" si="10"/>
        <v>+</v>
      </c>
      <c r="N119" s="1" t="str">
        <f t="shared" si="11"/>
        <v>Landshark Lager 6TC +$1.35 to $14.84</v>
      </c>
    </row>
    <row r="120" spans="1:14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9"/>
        <v>TC</v>
      </c>
      <c r="M120" s="1" t="str">
        <f t="shared" si="10"/>
        <v>+</v>
      </c>
      <c r="N120" s="1" t="str">
        <f t="shared" si="11"/>
        <v>Laker Light 6TC +$1.4 to $11.39</v>
      </c>
    </row>
    <row r="121" spans="1:14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9"/>
        <v>TC</v>
      </c>
      <c r="M121" s="1" t="str">
        <f t="shared" si="10"/>
        <v>+</v>
      </c>
      <c r="N121" s="1" t="str">
        <f t="shared" si="11"/>
        <v>Budweiser 12TC +$1.5 to $27.99</v>
      </c>
    </row>
    <row r="122" spans="1:14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9"/>
        <v>B</v>
      </c>
      <c r="M122" s="1" t="str">
        <f t="shared" si="10"/>
        <v>+</v>
      </c>
      <c r="N122" s="1" t="str">
        <f t="shared" si="11"/>
        <v>Corona 12B +$1.5 to $28.19</v>
      </c>
    </row>
    <row r="123" spans="1:14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9"/>
        <v>TC</v>
      </c>
      <c r="M123" s="1" t="str">
        <f t="shared" si="10"/>
        <v>+</v>
      </c>
      <c r="N123" s="1" t="str">
        <f t="shared" si="11"/>
        <v>Pbr Light 12TC +$1.51 to $23.49</v>
      </c>
    </row>
    <row r="124" spans="1:14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9"/>
        <v>TC</v>
      </c>
      <c r="M124" s="1" t="str">
        <f t="shared" si="10"/>
        <v>+</v>
      </c>
      <c r="N124" s="1" t="str">
        <f t="shared" si="11"/>
        <v>Gone Fishin Light 8TC +$2 to $20.99</v>
      </c>
    </row>
    <row r="125" spans="1:14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9"/>
        <v>TC</v>
      </c>
      <c r="M125" s="1" t="str">
        <f t="shared" si="10"/>
        <v>+</v>
      </c>
      <c r="N125" s="1" t="str">
        <f t="shared" si="11"/>
        <v>Longhorn Lager 8TC +$2 to $21.99</v>
      </c>
    </row>
    <row r="126" spans="1:14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9"/>
        <v>TC</v>
      </c>
      <c r="M126" s="1" t="str">
        <f t="shared" si="10"/>
        <v>+</v>
      </c>
      <c r="N126" s="1" t="str">
        <f t="shared" si="11"/>
        <v>Rough Stock Ipa 8TC +$2 to $23.99</v>
      </c>
    </row>
    <row r="127" spans="1:14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9"/>
        <v>TC</v>
      </c>
      <c r="M127" s="1" t="str">
        <f t="shared" si="10"/>
        <v>+</v>
      </c>
      <c r="N127" s="1" t="str">
        <f t="shared" si="11"/>
        <v>Bud Light Lemon Lime 12TC +$2 to $29.99</v>
      </c>
    </row>
    <row r="128" spans="1:14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9"/>
        <v>C</v>
      </c>
      <c r="M128" s="1" t="str">
        <f t="shared" si="10"/>
        <v>+</v>
      </c>
      <c r="N128" s="1" t="str">
        <f t="shared" si="11"/>
        <v>Bud Light Lime Time 12C +$2 to $25.49</v>
      </c>
    </row>
    <row r="129" spans="1:14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9"/>
        <v>TC</v>
      </c>
      <c r="M129" s="1" t="str">
        <f t="shared" si="10"/>
        <v>+</v>
      </c>
      <c r="N129" s="1" t="str">
        <f t="shared" si="11"/>
        <v>Mikes Halfer Lem&amp;Lag 12TC +$2 to $30.79</v>
      </c>
    </row>
    <row r="130" spans="1:14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9"/>
        <v>C</v>
      </c>
      <c r="M130" s="1" t="str">
        <f t="shared" si="10"/>
        <v>+</v>
      </c>
      <c r="N130" s="1" t="str">
        <f t="shared" si="11"/>
        <v>Arizona Hard Variety 12C +$2 to $26.99</v>
      </c>
    </row>
    <row r="131" spans="1:14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9"/>
        <v>TC</v>
      </c>
      <c r="M131" s="1" t="str">
        <f t="shared" si="10"/>
        <v>+</v>
      </c>
      <c r="N131" s="1" t="str">
        <f t="shared" si="11"/>
        <v>Coors Light 12TC +$2 to $27.99</v>
      </c>
    </row>
    <row r="132" spans="1:14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9"/>
        <v>TC</v>
      </c>
      <c r="M132" s="1" t="str">
        <f t="shared" si="10"/>
        <v>+</v>
      </c>
      <c r="N132" s="1" t="str">
        <f t="shared" si="11"/>
        <v>Coors Original 12TC +$2 to $28.99</v>
      </c>
    </row>
    <row r="133" spans="1:14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9"/>
        <v>C</v>
      </c>
      <c r="M133" s="1" t="str">
        <f t="shared" si="10"/>
        <v>+</v>
      </c>
      <c r="N133" s="1" t="str">
        <f t="shared" si="11"/>
        <v>Coors Selt Mixables 12C +$2 to $25.99</v>
      </c>
    </row>
    <row r="134" spans="1:14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9"/>
        <v>TC</v>
      </c>
      <c r="M134" s="1" t="str">
        <f t="shared" si="10"/>
        <v>+</v>
      </c>
      <c r="N134" s="1" t="str">
        <f t="shared" si="11"/>
        <v>Creemore Lager 12TC +$2 to $33.99</v>
      </c>
    </row>
    <row r="135" spans="1:14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9"/>
        <v>C</v>
      </c>
      <c r="M135" s="1" t="str">
        <f t="shared" si="10"/>
        <v>+</v>
      </c>
      <c r="N135" s="1" t="str">
        <f t="shared" si="11"/>
        <v>Simply Limeade 12C +$2 to $26.99</v>
      </c>
    </row>
    <row r="136" spans="1:14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9"/>
        <v>C</v>
      </c>
      <c r="M136" s="1" t="str">
        <f t="shared" si="10"/>
        <v>+</v>
      </c>
      <c r="N136" s="1" t="str">
        <f t="shared" si="11"/>
        <v>Vizzy Cream Pop Vp 12C +$2 to $26.99</v>
      </c>
    </row>
    <row r="137" spans="1:14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12">IF(F137&gt;355,"TC",LEFT(E137,1))</f>
        <v>C</v>
      </c>
      <c r="M137" s="1" t="str">
        <f t="shared" ref="M137:M168" si="13">IF(K137&gt;0,"+","-")</f>
        <v>+</v>
      </c>
      <c r="N137" s="1" t="str">
        <f t="shared" ref="N137:N168" si="14">PROPER($D137)&amp;" "&amp;$H137&amp;$L137&amp;" "&amp;$M137&amp;"$"&amp;ABS($K137)&amp;" to $"&amp;$J137</f>
        <v>Moosehead Lager 60C +$2 to $97.99</v>
      </c>
    </row>
    <row r="138" spans="1:14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12"/>
        <v>TC</v>
      </c>
      <c r="M138" s="1" t="str">
        <f t="shared" si="13"/>
        <v>+</v>
      </c>
      <c r="N138" s="1" t="str">
        <f t="shared" si="14"/>
        <v>Barnburner Amber Ale 1TC +$2.22 to $153.5</v>
      </c>
    </row>
    <row r="139" spans="1:14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12"/>
        <v>TC</v>
      </c>
      <c r="M139" s="1" t="str">
        <f t="shared" si="13"/>
        <v>+</v>
      </c>
      <c r="N139" s="1" t="str">
        <f t="shared" si="14"/>
        <v>Barnburner Amber Ale 1TC +$2.22 to $153.5</v>
      </c>
    </row>
    <row r="140" spans="1:14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12"/>
        <v>C</v>
      </c>
      <c r="M140" s="1" t="str">
        <f t="shared" si="13"/>
        <v>+</v>
      </c>
      <c r="N140" s="1" t="str">
        <f t="shared" si="14"/>
        <v>Miller High Life 30C +$2.5 to $47.99</v>
      </c>
    </row>
    <row r="141" spans="1:14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12"/>
        <v>TC</v>
      </c>
      <c r="M141" s="1" t="str">
        <f t="shared" si="13"/>
        <v>+</v>
      </c>
      <c r="N141" s="1" t="str">
        <f t="shared" si="14"/>
        <v>Miller High Life 12TC +$2.5 to $23.49</v>
      </c>
    </row>
    <row r="142" spans="1:14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12"/>
        <v>TC</v>
      </c>
      <c r="M142" s="1" t="str">
        <f t="shared" si="13"/>
        <v>+</v>
      </c>
      <c r="N142" s="1" t="str">
        <f t="shared" si="14"/>
        <v>Stockyards Lager Mix 6TC +$2.66 to $19.78</v>
      </c>
    </row>
    <row r="143" spans="1:14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12"/>
        <v>TC</v>
      </c>
      <c r="M143" s="1" t="str">
        <f t="shared" si="13"/>
        <v>+</v>
      </c>
      <c r="N143" s="1" t="str">
        <f t="shared" si="14"/>
        <v>Beau'S Lug Tread 24TC +$3 to $63.99</v>
      </c>
    </row>
    <row r="144" spans="1:14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12"/>
        <v>C</v>
      </c>
      <c r="M144" s="1" t="str">
        <f t="shared" si="13"/>
        <v>+</v>
      </c>
      <c r="N144" s="1" t="str">
        <f t="shared" si="14"/>
        <v>Corona 24C +$3 to $50.69</v>
      </c>
    </row>
    <row r="145" spans="1:14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12"/>
        <v>TC</v>
      </c>
      <c r="M145" s="1" t="str">
        <f t="shared" si="13"/>
        <v>+</v>
      </c>
      <c r="N145" s="1" t="str">
        <f t="shared" si="14"/>
        <v>Cracked Canoe 24TC +$3 to $52.99</v>
      </c>
    </row>
    <row r="146" spans="1:14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12"/>
        <v>TC</v>
      </c>
      <c r="M146" s="1" t="str">
        <f t="shared" si="13"/>
        <v>+</v>
      </c>
      <c r="N146" s="1" t="str">
        <f t="shared" si="14"/>
        <v>Moosehead Lager 24TC +$3 to $52.99</v>
      </c>
    </row>
    <row r="147" spans="1:14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12"/>
        <v>C</v>
      </c>
      <c r="M147" s="1" t="str">
        <f t="shared" si="13"/>
        <v>+</v>
      </c>
      <c r="N147" s="1" t="str">
        <f t="shared" si="14"/>
        <v>Sapporo 24C +$3 to $50.69</v>
      </c>
    </row>
    <row r="148" spans="1:14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12"/>
        <v>TC</v>
      </c>
      <c r="M148" s="1" t="str">
        <f t="shared" si="13"/>
        <v>+</v>
      </c>
      <c r="N148" s="1" t="str">
        <f t="shared" si="14"/>
        <v>Miller High Life 24TC +$3.1 to $44.99</v>
      </c>
    </row>
    <row r="149" spans="1:14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12"/>
        <v>B</v>
      </c>
      <c r="M149" s="1" t="str">
        <f t="shared" si="13"/>
        <v>+</v>
      </c>
      <c r="N149" s="1" t="str">
        <f t="shared" si="14"/>
        <v>Asahi Super Dry 24B +$4 to $49.29</v>
      </c>
    </row>
    <row r="150" spans="1:14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12"/>
        <v>C</v>
      </c>
      <c r="M150" s="1" t="str">
        <f t="shared" si="13"/>
        <v>+</v>
      </c>
      <c r="N150" s="1" t="str">
        <f t="shared" si="14"/>
        <v>Beau'S Lug Tread 24C +$4 to $49.99</v>
      </c>
    </row>
    <row r="151" spans="1:14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12"/>
        <v>TC</v>
      </c>
      <c r="M151" s="1" t="str">
        <f t="shared" si="13"/>
        <v>+</v>
      </c>
      <c r="N151" s="1" t="str">
        <f t="shared" si="14"/>
        <v>Mikes Halfer Lem&amp;Lag 24TC +$4 to $57.99</v>
      </c>
    </row>
    <row r="152" spans="1:14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12"/>
        <v>B</v>
      </c>
      <c r="M152" s="1" t="str">
        <f t="shared" si="13"/>
        <v>+</v>
      </c>
      <c r="N152" s="1" t="str">
        <f t="shared" si="14"/>
        <v>Mill St Organic Lag 24B +$4 to $48.49</v>
      </c>
    </row>
    <row r="153" spans="1:14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12"/>
        <v>C</v>
      </c>
      <c r="M153" s="1" t="str">
        <f t="shared" si="13"/>
        <v>+</v>
      </c>
      <c r="N153" s="1" t="str">
        <f t="shared" si="14"/>
        <v>Coors Selt Splash 24C +$4 to $47.99</v>
      </c>
    </row>
    <row r="154" spans="1:14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12"/>
        <v>C</v>
      </c>
      <c r="M154" s="1" t="str">
        <f t="shared" si="13"/>
        <v>+</v>
      </c>
      <c r="N154" s="1" t="str">
        <f t="shared" si="14"/>
        <v>Alpine Lager 24C +$4 to $44.99</v>
      </c>
    </row>
    <row r="155" spans="1:14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12"/>
        <v>C</v>
      </c>
      <c r="M155" s="1" t="str">
        <f t="shared" si="13"/>
        <v>+</v>
      </c>
      <c r="N155" s="1" t="str">
        <f t="shared" si="14"/>
        <v>Cracked Canoe 24C +$4 to $44.99</v>
      </c>
    </row>
    <row r="156" spans="1:14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12"/>
        <v>TC</v>
      </c>
      <c r="M156" s="1" t="str">
        <f t="shared" si="13"/>
        <v>+</v>
      </c>
      <c r="N156" s="1" t="str">
        <f t="shared" si="14"/>
        <v>James Ready 5.5 24TC +$4 to $44.99</v>
      </c>
    </row>
    <row r="157" spans="1:14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12"/>
        <v>C</v>
      </c>
      <c r="M157" s="1" t="str">
        <f t="shared" si="13"/>
        <v>+</v>
      </c>
      <c r="N157" s="1" t="str">
        <f t="shared" si="14"/>
        <v>Moosehead Lager 24C +$4 to $44.99</v>
      </c>
    </row>
    <row r="158" spans="1:14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12"/>
        <v>C</v>
      </c>
      <c r="M158" s="1" t="str">
        <f t="shared" si="13"/>
        <v>+</v>
      </c>
      <c r="N158" s="1" t="str">
        <f t="shared" si="14"/>
        <v>Moosehead Light 24C +$4 to $44.99</v>
      </c>
    </row>
    <row r="159" spans="1:14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12"/>
        <v>C</v>
      </c>
      <c r="M159" s="1" t="str">
        <f t="shared" si="13"/>
        <v>+</v>
      </c>
      <c r="N159" s="1" t="str">
        <f t="shared" si="14"/>
        <v>Muskoka Craft Lager 24C +$4 to $48.49</v>
      </c>
    </row>
    <row r="160" spans="1:14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12"/>
        <v>C</v>
      </c>
      <c r="M160" s="1" t="str">
        <f t="shared" si="13"/>
        <v>+</v>
      </c>
      <c r="N160" s="1" t="str">
        <f t="shared" si="14"/>
        <v>Muskoka Tread Light 24C +$4 to $43.99</v>
      </c>
    </row>
    <row r="161" spans="1:14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12"/>
        <v>TC</v>
      </c>
      <c r="M161" s="1" t="str">
        <f t="shared" si="13"/>
        <v>+</v>
      </c>
      <c r="N161" s="1" t="str">
        <f t="shared" si="14"/>
        <v>Naughty Neighbour 24TC +$4 to $65.88</v>
      </c>
    </row>
    <row r="162" spans="1:14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12"/>
        <v>TC</v>
      </c>
      <c r="M162" s="1" t="str">
        <f t="shared" si="13"/>
        <v>+</v>
      </c>
      <c r="N162" s="1" t="str">
        <f t="shared" si="14"/>
        <v>Naughty Neighbour 24TC +$4 to $65.88</v>
      </c>
    </row>
    <row r="163" spans="1:14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12"/>
        <v>TC</v>
      </c>
      <c r="M163" s="1" t="str">
        <f t="shared" si="13"/>
        <v>+</v>
      </c>
      <c r="N163" s="1" t="str">
        <f t="shared" si="14"/>
        <v>Nickel Brook Lager 24TC +$4 to $57</v>
      </c>
    </row>
    <row r="164" spans="1:14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12"/>
        <v>TC</v>
      </c>
      <c r="M164" s="1" t="str">
        <f t="shared" si="13"/>
        <v>+</v>
      </c>
      <c r="N164" s="1" t="str">
        <f t="shared" si="14"/>
        <v>Nickel Brook Lager 24TC +$4 to $57</v>
      </c>
    </row>
    <row r="165" spans="1:14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12"/>
        <v>C</v>
      </c>
      <c r="M165" s="1" t="str">
        <f t="shared" si="13"/>
        <v>+</v>
      </c>
      <c r="N165" s="1" t="str">
        <f t="shared" si="14"/>
        <v>Steam Whistle 24C +$4 to $49.99</v>
      </c>
    </row>
    <row r="166" spans="1:14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12"/>
        <v>TC</v>
      </c>
      <c r="M166" s="1" t="str">
        <f t="shared" si="13"/>
        <v>+</v>
      </c>
      <c r="N166" s="1" t="str">
        <f t="shared" si="14"/>
        <v>Coors Original 24TC +$4.1 to $57.99</v>
      </c>
    </row>
    <row r="167" spans="1:14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12"/>
        <v>C</v>
      </c>
      <c r="M167" s="1" t="str">
        <f t="shared" si="13"/>
        <v>+</v>
      </c>
      <c r="N167" s="1" t="str">
        <f t="shared" si="14"/>
        <v>Busch Light 30C +$4.5 to $47.99</v>
      </c>
    </row>
    <row r="168" spans="1:14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12"/>
        <v>B</v>
      </c>
      <c r="M168" s="1" t="str">
        <f t="shared" si="13"/>
        <v>+</v>
      </c>
      <c r="N168" s="1" t="str">
        <f t="shared" si="14"/>
        <v>Molson Canadian 28B +$4.5 to $43.49</v>
      </c>
    </row>
    <row r="169" spans="1:14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5">IF(F169&gt;355,"TC",LEFT(E169,1))</f>
        <v>TC</v>
      </c>
      <c r="M169" s="1" t="str">
        <f t="shared" ref="M169:M190" si="16">IF(K169&gt;0,"+","-")</f>
        <v>+</v>
      </c>
      <c r="N169" s="1" t="str">
        <f t="shared" ref="N169:N190" si="17">PROPER($D169)&amp;" "&amp;$H169&amp;$L169&amp;" "&amp;$M169&amp;"$"&amp;ABS($K169)&amp;" to $"&amp;$J169</f>
        <v>Asahi Super Dry 1TC +$4.99 to $123</v>
      </c>
    </row>
    <row r="170" spans="1:14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5"/>
        <v>TC</v>
      </c>
      <c r="M170" s="1" t="str">
        <f t="shared" si="16"/>
        <v>+</v>
      </c>
      <c r="N170" s="1" t="str">
        <f t="shared" si="17"/>
        <v>Beau'S Lug Tread 48TC +$5 to $115.99</v>
      </c>
    </row>
    <row r="171" spans="1:14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5"/>
        <v>B</v>
      </c>
      <c r="M171" s="1" t="str">
        <f t="shared" si="16"/>
        <v>+</v>
      </c>
      <c r="N171" s="1" t="str">
        <f t="shared" si="17"/>
        <v>Peroni 24B +$5 to $49.99</v>
      </c>
    </row>
    <row r="172" spans="1:14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5"/>
        <v>TC</v>
      </c>
      <c r="M172" s="1" t="str">
        <f t="shared" si="16"/>
        <v>+</v>
      </c>
      <c r="N172" s="1" t="str">
        <f t="shared" si="17"/>
        <v>Gone Fishin Light 24TC +$5 to $58.99</v>
      </c>
    </row>
    <row r="173" spans="1:14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5"/>
        <v>TC</v>
      </c>
      <c r="M173" s="1" t="str">
        <f t="shared" si="16"/>
        <v>+</v>
      </c>
      <c r="N173" s="1" t="str">
        <f t="shared" si="17"/>
        <v>Longhorn Lager 24TC +$5 to $59.99</v>
      </c>
    </row>
    <row r="174" spans="1:14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5"/>
        <v>B</v>
      </c>
      <c r="M174" s="1" t="str">
        <f t="shared" si="16"/>
        <v>+</v>
      </c>
      <c r="N174" s="1" t="str">
        <f t="shared" si="17"/>
        <v>Heineken Nv 24B +$5 to $49.99</v>
      </c>
    </row>
    <row r="175" spans="1:14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5"/>
        <v>C</v>
      </c>
      <c r="M175" s="1" t="str">
        <f t="shared" si="16"/>
        <v>+</v>
      </c>
      <c r="N175" s="1" t="str">
        <f t="shared" si="17"/>
        <v>Bud Light 30C +$5 to $50.99</v>
      </c>
    </row>
    <row r="176" spans="1:14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5"/>
        <v>TC</v>
      </c>
      <c r="M176" s="1" t="str">
        <f t="shared" si="16"/>
        <v>+</v>
      </c>
      <c r="N176" s="1" t="str">
        <f t="shared" si="17"/>
        <v>Bud Light Lemon Lime 24TC +$5 to $57.49</v>
      </c>
    </row>
    <row r="177" spans="1:14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5"/>
        <v>C</v>
      </c>
      <c r="M177" s="1" t="str">
        <f t="shared" si="16"/>
        <v>+</v>
      </c>
      <c r="N177" s="1" t="str">
        <f t="shared" si="17"/>
        <v>Bud Light Lime Time 24C +$5 to $49.99</v>
      </c>
    </row>
    <row r="178" spans="1:14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5"/>
        <v>B</v>
      </c>
      <c r="M178" s="1" t="str">
        <f t="shared" si="16"/>
        <v>+</v>
      </c>
      <c r="N178" s="1" t="str">
        <f t="shared" si="17"/>
        <v>Stella Artois 24B +$5 to $49.99</v>
      </c>
    </row>
    <row r="179" spans="1:14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5"/>
        <v>C</v>
      </c>
      <c r="M179" s="1" t="str">
        <f t="shared" si="16"/>
        <v>+</v>
      </c>
      <c r="N179" s="1" t="str">
        <f t="shared" si="17"/>
        <v>Coors Light 30C +$5 to $50.99</v>
      </c>
    </row>
    <row r="180" spans="1:14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5"/>
        <v>TC</v>
      </c>
      <c r="M180" s="1" t="str">
        <f t="shared" si="16"/>
        <v>+</v>
      </c>
      <c r="N180" s="1" t="str">
        <f t="shared" si="17"/>
        <v>Steam Whistle 1TC +$5 to $145.95</v>
      </c>
    </row>
    <row r="181" spans="1:14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5"/>
        <v>TC</v>
      </c>
      <c r="M181" s="1" t="str">
        <f t="shared" si="16"/>
        <v>+</v>
      </c>
      <c r="N181" s="1" t="str">
        <f t="shared" si="17"/>
        <v>Steam Whistle 1TC +$5 to $145.95</v>
      </c>
    </row>
    <row r="182" spans="1:14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5"/>
        <v>C</v>
      </c>
      <c r="M182" s="1" t="str">
        <f t="shared" si="16"/>
        <v>+</v>
      </c>
      <c r="N182" s="1" t="str">
        <f t="shared" si="17"/>
        <v>Heineken Silver 24C +$5.7 to $50.69</v>
      </c>
    </row>
    <row r="183" spans="1:14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5"/>
        <v>C</v>
      </c>
      <c r="M183" s="1" t="str">
        <f t="shared" si="16"/>
        <v>+</v>
      </c>
      <c r="N183" s="1" t="str">
        <f t="shared" si="17"/>
        <v>Miller Lite 30C +$6 to $51.99</v>
      </c>
    </row>
    <row r="184" spans="1:14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5"/>
        <v>TC</v>
      </c>
      <c r="M184" s="1" t="str">
        <f t="shared" si="16"/>
        <v>+</v>
      </c>
      <c r="N184" s="1" t="str">
        <f t="shared" si="17"/>
        <v>Delirium Red 1TC +$6.24 to $214.16</v>
      </c>
    </row>
    <row r="185" spans="1:14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5"/>
        <v>TC</v>
      </c>
      <c r="M185" s="1" t="str">
        <f t="shared" si="16"/>
        <v>+</v>
      </c>
      <c r="N185" s="1" t="str">
        <f t="shared" si="17"/>
        <v>Rough Stock Ipa 24TC +$7 to $69.99</v>
      </c>
    </row>
    <row r="186" spans="1:14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5"/>
        <v>C</v>
      </c>
      <c r="M186" s="1" t="str">
        <f t="shared" si="16"/>
        <v>+</v>
      </c>
      <c r="N186" s="1" t="str">
        <f t="shared" si="17"/>
        <v>Muskoka Detour 48C +$8 to $94.99</v>
      </c>
    </row>
    <row r="187" spans="1:14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5"/>
        <v>C</v>
      </c>
      <c r="M187" s="1" t="str">
        <f t="shared" si="16"/>
        <v>+</v>
      </c>
      <c r="N187" s="1" t="str">
        <f t="shared" si="17"/>
        <v>Beau'S Lug Tread 48C +$10 to $94.79</v>
      </c>
    </row>
    <row r="188" spans="1:14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5"/>
        <v>C</v>
      </c>
      <c r="M188" s="1" t="str">
        <f t="shared" si="16"/>
        <v>+</v>
      </c>
      <c r="N188" s="1" t="str">
        <f t="shared" si="17"/>
        <v>Pabst Blue Ribbon 60C +$10 to $90.99</v>
      </c>
    </row>
    <row r="189" spans="1:14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5"/>
        <v>C</v>
      </c>
      <c r="M189" s="1" t="str">
        <f t="shared" si="16"/>
        <v>+</v>
      </c>
      <c r="N189" s="1" t="str">
        <f t="shared" si="17"/>
        <v>Steam Whistle 48C +$10 to $92.99</v>
      </c>
    </row>
    <row r="190" spans="1:14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5"/>
        <v>TC</v>
      </c>
      <c r="M190" s="1" t="str">
        <f t="shared" si="16"/>
        <v>+</v>
      </c>
      <c r="N190" s="1" t="str">
        <f t="shared" si="17"/>
        <v>Benediktiner Weiss 24TC +$59.82 to $59.82</v>
      </c>
    </row>
  </sheetData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customXml/itemProps3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2025-10-31T19:53:17Z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