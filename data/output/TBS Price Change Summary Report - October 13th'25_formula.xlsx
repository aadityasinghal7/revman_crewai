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Price Change Summary Report" sheetId="1" state="visible" r:id="rId1"/>
    <sheet xmlns:r="http://schemas.openxmlformats.org/officeDocument/2006/relationships" name="Sheet1" sheetId="2" state="visible" r:id="rId2"/>
  </sheets>
  <definedNames>
    <definedName name="SAPBEXhrIndnt" hidden="1">"Wide"</definedName>
    <definedName name="SAPsysID" hidden="1">"708C5W7SBKP804JT78WJ0JNKI"</definedName>
    <definedName name="SAPwbID" hidden="1">"ARS"</definedName>
    <definedName name="DF_NAVPANEL_13" localSheetId="0">#REF!</definedName>
    <definedName name="DF_NAVPANEL_18" localSheetId="0">#REF!</definedName>
    <definedName name="_xlnm._FilterDatabase" localSheetId="0" hidden="1">'Price Change Summary Report'!$A$8:$M$190</definedName>
    <definedName name="_xlnm.Print_Titles" localSheetId="0">'Price Change Summary Report'!$8:$8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8"/>
    </font>
    <font>
      <name val="Calibri"/>
      <family val="2"/>
      <b val="1"/>
      <color theme="1"/>
      <sz val="16"/>
      <scheme val="minor"/>
    </font>
    <font>
      <name val="Calibri"/>
      <family val="2"/>
      <sz val="12"/>
      <scheme val="minor"/>
    </font>
    <font>
      <name val="Calibri"/>
      <family val="2"/>
      <b val="1"/>
      <color theme="1"/>
      <sz val="12"/>
      <scheme val="minor"/>
    </font>
  </fonts>
  <fills count="8">
    <fill>
      <patternFill/>
    </fill>
    <fill>
      <patternFill patternType="gray125"/>
    </fill>
    <fill>
      <patternFill patternType="solid">
        <fgColor indexed="60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D2FEE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2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pivotButton="0" quotePrefix="0" xfId="0"/>
    <xf numFmtId="0" fontId="2" fillId="3" borderId="0" pivotButton="0" quotePrefix="0" xfId="1"/>
    <xf numFmtId="0" fontId="2" fillId="3" borderId="0" applyAlignment="1" pivotButton="0" quotePrefix="0" xfId="1">
      <alignment horizontal="center"/>
    </xf>
    <xf numFmtId="0" fontId="2" fillId="3" borderId="0" applyAlignment="1" pivotButton="0" quotePrefix="0" xfId="1">
      <alignment horizontal="left"/>
    </xf>
    <xf numFmtId="164" fontId="2" fillId="3" borderId="0" applyAlignment="1" pivotButton="0" quotePrefix="0" xfId="1">
      <alignment horizontal="center"/>
    </xf>
    <xf numFmtId="0" fontId="1" fillId="4" borderId="0" pivotButton="0" quotePrefix="0" xfId="2"/>
    <xf numFmtId="0" fontId="1" fillId="4" borderId="0" applyAlignment="1" pivotButton="0" quotePrefix="0" xfId="2">
      <alignment horizontal="center"/>
    </xf>
    <xf numFmtId="164" fontId="1" fillId="4" borderId="0" applyAlignment="1" pivotButton="0" quotePrefix="0" xfId="2">
      <alignment horizontal="center"/>
    </xf>
    <xf numFmtId="0" fontId="1" fillId="4" borderId="0" applyAlignment="1" pivotButton="0" quotePrefix="0" xfId="2">
      <alignment vertical="center"/>
    </xf>
    <xf numFmtId="0" fontId="1" fillId="4" borderId="0" applyAlignment="1" pivotButton="0" quotePrefix="0" xfId="2">
      <alignment vertical="center" wrapText="1"/>
    </xf>
    <xf numFmtId="0" fontId="1" fillId="4" borderId="0" applyAlignment="1" pivotButton="0" quotePrefix="0" xfId="2">
      <alignment horizontal="center" vertical="center" wrapText="1"/>
    </xf>
    <xf numFmtId="164" fontId="1" fillId="4" borderId="0" applyAlignment="1" pivotButton="0" quotePrefix="0" xfId="2">
      <alignment horizontal="center" vertical="center" wrapText="1"/>
    </xf>
    <xf numFmtId="0" fontId="1" fillId="4" borderId="0" applyAlignment="1" pivotButton="0" quotePrefix="0" xfId="2">
      <alignment horizontal="left" vertical="center" wrapText="1"/>
    </xf>
    <xf numFmtId="164" fontId="1" fillId="4" borderId="0" applyAlignment="1" pivotButton="0" quotePrefix="0" xfId="2">
      <alignment horizontal="center" vertical="center"/>
    </xf>
    <xf numFmtId="0" fontId="4" fillId="3" borderId="0" applyAlignment="1" pivotButton="0" quotePrefix="0" xfId="1">
      <alignment horizontal="center"/>
    </xf>
    <xf numFmtId="0" fontId="4" fillId="3" borderId="0" applyAlignment="1" pivotButton="0" quotePrefix="0" xfId="1">
      <alignment horizontal="left"/>
    </xf>
    <xf numFmtId="164" fontId="4" fillId="3" borderId="0" applyAlignment="1" pivotButton="0" quotePrefix="0" xfId="1">
      <alignment horizontal="center"/>
    </xf>
    <xf numFmtId="0" fontId="5" fillId="5" borderId="1" applyAlignment="1" pivotButton="0" quotePrefix="0" xfId="2">
      <alignment horizontal="center" vertical="center" wrapText="1"/>
    </xf>
    <xf numFmtId="0" fontId="5" fillId="5" borderId="1" applyAlignment="1" pivotButton="0" quotePrefix="0" xfId="2">
      <alignment horizontal="center" vertical="center"/>
    </xf>
    <xf numFmtId="0" fontId="5" fillId="5" borderId="2" applyAlignment="1" pivotButton="0" quotePrefix="0" xfId="2">
      <alignment horizontal="center" vertical="center" wrapText="1"/>
    </xf>
    <xf numFmtId="164" fontId="5" fillId="6" borderId="2" applyAlignment="1" pivotButton="0" quotePrefix="0" xfId="2">
      <alignment horizontal="center" vertical="center" wrapText="1"/>
    </xf>
    <xf numFmtId="164" fontId="5" fillId="7" borderId="2" applyAlignment="1" pivotButton="0" quotePrefix="0" xfId="2">
      <alignment horizontal="center" vertical="center" wrapText="1"/>
    </xf>
    <xf numFmtId="0" fontId="3" fillId="4" borderId="0" applyAlignment="1" pivotButton="0" quotePrefix="0" xfId="2">
      <alignment horizontal="center"/>
    </xf>
    <xf numFmtId="0" fontId="1" fillId="4" borderId="0" applyAlignment="1" pivotButton="0" quotePrefix="0" xfId="2">
      <alignment horizontal="center" vertical="center"/>
    </xf>
  </cellXfs>
  <cellStyles count="5">
    <cellStyle name="Normal" xfId="0" builtinId="0"/>
    <cellStyle name="Normal 2" xfId="1"/>
    <cellStyle name="Normal 2 2" xfId="2"/>
    <cellStyle name="Normal 2 2 2" xfId="3"/>
    <cellStyle name="Normal 3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88106</colOff>
      <row>1</row>
      <rowOff>9525</rowOff>
    </from>
    <to>
      <col>1</col>
      <colOff>591342</colOff>
      <row>6</row>
      <rowOff>10572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8106" y="136525"/>
          <a:ext cx="1426872" cy="9991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4">
    <outlinePr summaryBelow="1" summaryRight="1"/>
    <pageSetUpPr fitToPage="1"/>
  </sheetPr>
  <dimension ref="A1:O190"/>
  <sheetViews>
    <sheetView zoomScale="55" zoomScaleNormal="55" workbookViewId="0">
      <pane ySplit="8" topLeftCell="A165" activePane="bottomLeft" state="frozen"/>
      <selection pane="bottomLeft" activeCell="N1" sqref="N1:S1048576"/>
    </sheetView>
  </sheetViews>
  <sheetFormatPr baseColWidth="8" defaultColWidth="8" defaultRowHeight="10"/>
  <cols>
    <col width="13.1796875" customWidth="1" style="2" min="1" max="1"/>
    <col width="22" bestFit="1" customWidth="1" style="3" min="2" max="2"/>
    <col width="44.81640625" bestFit="1" customWidth="1" style="3" min="3" max="3"/>
    <col width="26.1796875" bestFit="1" customWidth="1" style="3" min="4" max="4"/>
    <col width="9.7265625" bestFit="1" customWidth="1" style="2" min="5" max="5"/>
    <col width="13.54296875" customWidth="1" style="2" min="6" max="6"/>
    <col width="15.54296875" customWidth="1" style="3" min="7" max="7"/>
    <col width="9" bestFit="1" customWidth="1" style="2" min="8" max="8"/>
    <col width="10.453125" customWidth="1" style="4" min="9" max="10"/>
    <col width="20" bestFit="1" customWidth="1" style="4" min="11" max="11"/>
    <col width="8" customWidth="1" style="1" min="12" max="16384"/>
  </cols>
  <sheetData>
    <row r="1">
      <c r="A1" s="1" t="n"/>
      <c r="B1" s="1" t="n"/>
      <c r="C1" s="1" t="n"/>
      <c r="D1" s="1" t="n"/>
    </row>
    <row r="2" ht="21" customHeight="1">
      <c r="A2" s="5" t="n"/>
      <c r="B2" s="5" t="n"/>
      <c r="C2" s="5" t="n"/>
      <c r="D2" s="22" t="inlineStr">
        <is>
          <t>Price Change Summary Report</t>
        </is>
      </c>
      <c r="H2" s="6" t="n"/>
      <c r="I2" s="7" t="n"/>
      <c r="J2" s="7" t="n"/>
      <c r="K2" s="7" t="n"/>
    </row>
    <row r="3" ht="14.5" customHeight="1">
      <c r="A3" s="5" t="n"/>
      <c r="B3" s="8" t="n"/>
      <c r="C3" s="9" t="n"/>
      <c r="D3" s="23" t="inlineStr">
        <is>
          <t>Price List for    10/13/2025</t>
        </is>
      </c>
      <c r="H3" s="10" t="n"/>
      <c r="I3" s="11" t="n"/>
      <c r="J3" s="11" t="n"/>
      <c r="K3" s="11" t="n"/>
    </row>
    <row r="4" ht="14.5" customHeight="1">
      <c r="A4" s="5" t="n"/>
      <c r="B4" s="9" t="n"/>
      <c r="C4" s="9" t="n"/>
      <c r="D4" s="9" t="n"/>
      <c r="E4" s="10" t="n"/>
      <c r="F4" s="10" t="n"/>
      <c r="G4" s="12" t="n"/>
      <c r="H4" s="10" t="n"/>
      <c r="I4" s="13" t="n"/>
      <c r="J4" s="13" t="n"/>
      <c r="K4" s="13" t="inlineStr">
        <is>
          <t xml:space="preserve"> Ran on   10/6/2025</t>
        </is>
      </c>
    </row>
    <row r="5" ht="14.5" customHeight="1">
      <c r="A5" s="5" t="n"/>
      <c r="B5" s="9" t="n"/>
      <c r="C5" s="9" t="n"/>
      <c r="D5" s="9" t="n"/>
      <c r="E5" s="10" t="n"/>
      <c r="F5" s="10" t="n"/>
      <c r="G5" s="12" t="n"/>
      <c r="H5" s="10" t="n"/>
      <c r="I5" s="13" t="n"/>
      <c r="J5" s="13" t="n"/>
      <c r="K5" s="13" t="n"/>
    </row>
    <row r="6" ht="14.5" customHeight="1">
      <c r="A6" s="5" t="n"/>
      <c r="B6" s="9" t="n"/>
      <c r="C6" s="9" t="n"/>
      <c r="D6" s="9" t="n"/>
      <c r="E6" s="10" t="n"/>
      <c r="F6" s="10" t="n"/>
      <c r="G6" s="12" t="n"/>
      <c r="H6" s="10" t="n"/>
      <c r="I6" s="13" t="n"/>
      <c r="J6" s="13" t="n"/>
      <c r="K6" s="13" t="n"/>
    </row>
    <row r="7">
      <c r="A7" s="1" t="n"/>
      <c r="B7" s="1" t="n"/>
      <c r="C7" s="1" t="n"/>
      <c r="D7" s="1" t="n"/>
    </row>
    <row r="8" ht="31" customHeight="1">
      <c r="A8" s="17" t="inlineStr">
        <is>
          <t>SAP
Art. No.</t>
        </is>
      </c>
      <c r="B8" s="18" t="inlineStr">
        <is>
          <t>Type of Sale</t>
        </is>
      </c>
      <c r="C8" s="19" t="inlineStr">
        <is>
          <t>Brewer</t>
        </is>
      </c>
      <c r="D8" s="19" t="inlineStr">
        <is>
          <t>Product Name</t>
        </is>
      </c>
      <c r="E8" s="19" t="inlineStr">
        <is>
          <t>Pack Type</t>
        </is>
      </c>
      <c r="F8" s="19" t="inlineStr">
        <is>
          <t>Pack Volume ml</t>
        </is>
      </c>
      <c r="G8" s="19" t="inlineStr">
        <is>
          <t>Package Full Name</t>
        </is>
      </c>
      <c r="H8" s="19" t="inlineStr">
        <is>
          <t>Pack Size</t>
        </is>
      </c>
      <c r="I8" s="20" t="inlineStr">
        <is>
          <t>Old
Price</t>
        </is>
      </c>
      <c r="J8" s="20" t="inlineStr">
        <is>
          <t>New
Price</t>
        </is>
      </c>
      <c r="K8" s="21" t="inlineStr">
        <is>
          <t>Increase
(Decrease)</t>
        </is>
      </c>
      <c r="L8" s="21" t="inlineStr">
        <is>
          <t>B/C/TC</t>
        </is>
      </c>
      <c r="O8" t="inlineStr">
        <is>
          <t>Price Ratio %</t>
        </is>
      </c>
    </row>
    <row r="9" ht="15.5" customHeight="1">
      <c r="A9" s="14" t="n">
        <v>1065365</v>
      </c>
      <c r="B9" s="15" t="inlineStr">
        <is>
          <t>TBS - Retail Price</t>
        </is>
      </c>
      <c r="C9" s="15" t="inlineStr">
        <is>
          <t>STEAM WHISTLE BREWING INC</t>
        </is>
      </c>
      <c r="D9" s="15" t="inlineStr">
        <is>
          <t>STEAM WHISTLE</t>
        </is>
      </c>
      <c r="E9" s="14" t="inlineStr">
        <is>
          <t>Bottles</t>
        </is>
      </c>
      <c r="F9" s="14" t="n">
        <v>341</v>
      </c>
      <c r="G9" s="15" t="inlineStr">
        <is>
          <t>Bottles  341 ml</t>
        </is>
      </c>
      <c r="H9" s="14" t="n">
        <v>48</v>
      </c>
      <c r="I9" s="16" t="n">
        <v>95.98999999999999</v>
      </c>
      <c r="J9" s="16" t="n">
        <v>85.98999999999999</v>
      </c>
      <c r="K9" s="16" t="n">
        <v>-10</v>
      </c>
      <c r="L9" s="1">
        <f>IF(F9&gt;355,"TC",LEFT(E9,1))</f>
        <v/>
      </c>
      <c r="M9" s="1">
        <f>IF(K9&gt;0,"+","-")</f>
        <v/>
      </c>
      <c r="N9">
        <f>PROPER($D9)&amp;" "&amp;$H9&amp;$L9&amp;" "&amp;$M9&amp;"$"&amp;ABS($K9)&amp;" to $"&amp;$J9</f>
        <v/>
      </c>
      <c r="O9">
        <f>(J9/I9)*100</f>
        <v/>
      </c>
    </row>
    <row r="10" ht="15.5" customHeight="1">
      <c r="A10" s="14" t="n">
        <v>1129130</v>
      </c>
      <c r="B10" s="15" t="inlineStr">
        <is>
          <t>TBS - Retail Price</t>
        </is>
      </c>
      <c r="C10" s="15" t="inlineStr">
        <is>
          <t>CARLSBERG MARSTON'S BREWING COMPANY</t>
        </is>
      </c>
      <c r="D10" s="15" t="inlineStr">
        <is>
          <t>CREST SUPER</t>
        </is>
      </c>
      <c r="E10" s="14" t="inlineStr">
        <is>
          <t>Cans</t>
        </is>
      </c>
      <c r="F10" s="14" t="n">
        <v>500</v>
      </c>
      <c r="G10" s="15" t="inlineStr">
        <is>
          <t>Cans  500 ml</t>
        </is>
      </c>
      <c r="H10" s="14" t="n">
        <v>24</v>
      </c>
      <c r="I10" s="16" t="n">
        <v>83.67</v>
      </c>
      <c r="J10" s="16" t="n">
        <v>74.81999999999999</v>
      </c>
      <c r="K10" s="16" t="n">
        <v>-8.85</v>
      </c>
      <c r="L10" s="1">
        <f>IF(F10&gt;355,"TC",LEFT(E10,1))</f>
        <v/>
      </c>
      <c r="M10" s="1">
        <f>IF(K10&gt;0,"+","-")</f>
        <v/>
      </c>
      <c r="N10">
        <f>PROPER($D10)&amp;" "&amp;$H10&amp;$L10&amp;" "&amp;$M10&amp;"$"&amp;ABS($K10)&amp;" to $"&amp;$J10</f>
        <v/>
      </c>
      <c r="O10">
        <f>(J10/I10)*100</f>
        <v/>
      </c>
    </row>
    <row r="11" ht="15.5" customHeight="1">
      <c r="A11" s="14" t="n">
        <v>2042611</v>
      </c>
      <c r="B11" s="15" t="inlineStr">
        <is>
          <t>TBS - Retail Price</t>
        </is>
      </c>
      <c r="C11" s="15" t="inlineStr">
        <is>
          <t>SLEEMAN BREWERIES LTD</t>
        </is>
      </c>
      <c r="D11" s="15" t="inlineStr">
        <is>
          <t>COLT 45</t>
        </is>
      </c>
      <c r="E11" s="14" t="inlineStr">
        <is>
          <t>Cans</t>
        </is>
      </c>
      <c r="F11" s="14" t="n">
        <v>710</v>
      </c>
      <c r="G11" s="15" t="inlineStr">
        <is>
          <t>Cans  710 ml</t>
        </is>
      </c>
      <c r="H11" s="14" t="n">
        <v>24</v>
      </c>
      <c r="I11" s="16" t="n">
        <v>86.02</v>
      </c>
      <c r="J11" s="16" t="n">
        <v>77.95</v>
      </c>
      <c r="K11" s="16" t="n">
        <v>-8.07</v>
      </c>
      <c r="L11" s="1">
        <f>IF(F11&gt;355,"TC",LEFT(E11,1))</f>
        <v/>
      </c>
      <c r="M11" s="1">
        <f>IF(K11&gt;0,"+","-")</f>
        <v/>
      </c>
      <c r="N11">
        <f>PROPER($D11)&amp;" "&amp;$H11&amp;$L11&amp;" "&amp;$M11&amp;"$"&amp;ABS($K11)&amp;" to $"&amp;$J11</f>
        <v/>
      </c>
      <c r="O11">
        <f>(J11/I11)*100</f>
        <v/>
      </c>
    </row>
    <row r="12" ht="15.5" customHeight="1">
      <c r="A12" s="14" t="n">
        <v>3353211</v>
      </c>
      <c r="B12" s="15" t="inlineStr">
        <is>
          <t>TBS - Retail Price</t>
        </is>
      </c>
      <c r="C12" s="15" t="inlineStr">
        <is>
          <t>BEAU'S ALL NATURAL BREWING CO LTD</t>
        </is>
      </c>
      <c r="D12" s="15" t="inlineStr">
        <is>
          <t>BEAUS LUG LITE LAGER</t>
        </is>
      </c>
      <c r="E12" s="14" t="inlineStr">
        <is>
          <t>Cans</t>
        </is>
      </c>
      <c r="F12" s="14" t="n">
        <v>355</v>
      </c>
      <c r="G12" s="15" t="inlineStr">
        <is>
          <t>Cans  355 ml</t>
        </is>
      </c>
      <c r="H12" s="14" t="n">
        <v>48</v>
      </c>
      <c r="I12" s="16" t="n">
        <v>79.98999999999999</v>
      </c>
      <c r="J12" s="16" t="n">
        <v>71.98999999999999</v>
      </c>
      <c r="K12" s="16" t="n">
        <v>-8</v>
      </c>
      <c r="L12" s="1">
        <f>IF(F12&gt;355,"TC",LEFT(E12,1))</f>
        <v/>
      </c>
      <c r="M12" s="1">
        <f>IF(K12&gt;0,"+","-")</f>
        <v/>
      </c>
      <c r="N12">
        <f>PROPER($D12)&amp;" "&amp;$H12&amp;$L12&amp;" "&amp;$M12&amp;"$"&amp;ABS($K12)&amp;" to $"&amp;$J12</f>
        <v/>
      </c>
      <c r="O12">
        <f>(J12/I12)*100</f>
        <v/>
      </c>
    </row>
    <row r="13" ht="15.5" customHeight="1">
      <c r="A13" s="14" t="n">
        <v>2503211</v>
      </c>
      <c r="B13" s="15" t="inlineStr">
        <is>
          <t>TBS - Retail Price</t>
        </is>
      </c>
      <c r="C13" s="15" t="inlineStr">
        <is>
          <t>MUSKOKA COTTAGE BREWERY INC</t>
        </is>
      </c>
      <c r="D13" s="15" t="inlineStr">
        <is>
          <t>MUSKOKA TREAD LIGHT</t>
        </is>
      </c>
      <c r="E13" s="14" t="inlineStr">
        <is>
          <t>Cans</t>
        </is>
      </c>
      <c r="F13" s="14" t="n">
        <v>355</v>
      </c>
      <c r="G13" s="15" t="inlineStr">
        <is>
          <t>Cans  355 ml</t>
        </is>
      </c>
      <c r="H13" s="14" t="n">
        <v>48</v>
      </c>
      <c r="I13" s="16" t="n">
        <v>86.98999999999999</v>
      </c>
      <c r="J13" s="16" t="n">
        <v>78.98999999999999</v>
      </c>
      <c r="K13" s="16" t="n">
        <v>-8</v>
      </c>
      <c r="L13" s="1">
        <f>IF(F13&gt;355,"TC",LEFT(E13,1))</f>
        <v/>
      </c>
      <c r="M13" s="1">
        <f>IF(K13&gt;0,"+","-")</f>
        <v/>
      </c>
      <c r="N13">
        <f>PROPER($D13)&amp;" "&amp;$H13&amp;$L13&amp;" "&amp;$M13&amp;"$"&amp;ABS($K13)&amp;" to $"&amp;$J13</f>
        <v/>
      </c>
      <c r="O13">
        <f>(J13/I13)*100</f>
        <v/>
      </c>
    </row>
    <row r="14" ht="15.5" customHeight="1">
      <c r="A14" s="14" t="n">
        <v>1143013</v>
      </c>
      <c r="B14" s="15" t="inlineStr">
        <is>
          <t>TBS - Licensee</t>
        </is>
      </c>
      <c r="C14" s="15" t="inlineStr">
        <is>
          <t>HEINEKEN CANADA INC</t>
        </is>
      </c>
      <c r="D14" s="15" t="inlineStr">
        <is>
          <t>HEINEKEN NV</t>
        </is>
      </c>
      <c r="E14" s="14" t="inlineStr">
        <is>
          <t>Bottles</t>
        </is>
      </c>
      <c r="F14" s="14" t="n">
        <v>330</v>
      </c>
      <c r="G14" s="15" t="inlineStr">
        <is>
          <t>Bottles  330 ml</t>
        </is>
      </c>
      <c r="H14" s="14" t="n">
        <v>24</v>
      </c>
      <c r="I14" s="16" t="n">
        <v>60.7</v>
      </c>
      <c r="J14" s="16" t="n">
        <v>54.5</v>
      </c>
      <c r="K14" s="16" t="n">
        <v>-6.2</v>
      </c>
      <c r="L14" s="1">
        <f>IF(F14&gt;355,"TC",LEFT(E14,1))</f>
        <v/>
      </c>
      <c r="M14" s="1">
        <f>IF(K14&gt;0,"+","-")</f>
        <v/>
      </c>
      <c r="N14">
        <f>PROPER($D14)&amp;" "&amp;$H14&amp;$L14&amp;" "&amp;$M14&amp;"$"&amp;ABS($K14)&amp;" to $"&amp;$J14</f>
        <v/>
      </c>
      <c r="O14">
        <f>(J14/I14)*100</f>
        <v/>
      </c>
    </row>
    <row r="15" ht="15.5" customHeight="1">
      <c r="A15" s="14" t="n">
        <v>3891013</v>
      </c>
      <c r="B15" s="15" t="inlineStr">
        <is>
          <t>TBS - Licensee</t>
        </is>
      </c>
      <c r="C15" s="15" t="inlineStr">
        <is>
          <t>HEINEKEN CANADA INC</t>
        </is>
      </c>
      <c r="D15" s="15" t="inlineStr">
        <is>
          <t>HEINEKEN SILVER</t>
        </is>
      </c>
      <c r="E15" s="14" t="inlineStr">
        <is>
          <t>Bottles</t>
        </is>
      </c>
      <c r="F15" s="14" t="n">
        <v>330</v>
      </c>
      <c r="G15" s="15" t="inlineStr">
        <is>
          <t>Bottles  330 ml</t>
        </is>
      </c>
      <c r="H15" s="14" t="n">
        <v>24</v>
      </c>
      <c r="I15" s="16" t="n">
        <v>60.7</v>
      </c>
      <c r="J15" s="16" t="n">
        <v>54.5</v>
      </c>
      <c r="K15" s="16" t="n">
        <v>-6.2</v>
      </c>
      <c r="L15" s="1">
        <f>IF(F15&gt;355,"TC",LEFT(E15,1))</f>
        <v/>
      </c>
      <c r="M15" s="1">
        <f>IF(K15&gt;0,"+","-")</f>
        <v/>
      </c>
      <c r="N15">
        <f>PROPER($D15)&amp;" "&amp;$H15&amp;$L15&amp;" "&amp;$M15&amp;"$"&amp;ABS($K15)&amp;" to $"&amp;$J15</f>
        <v/>
      </c>
      <c r="O15">
        <f>(J15/I15)*100</f>
        <v/>
      </c>
    </row>
    <row r="16" ht="15.5" customHeight="1">
      <c r="A16" s="14" t="n">
        <v>1617224</v>
      </c>
      <c r="B16" s="15" t="inlineStr">
        <is>
          <t>TBS - Retail Price</t>
        </is>
      </c>
      <c r="C16" s="15" t="inlineStr">
        <is>
          <t>MOOSEHEAD BREWERIES LIMITED</t>
        </is>
      </c>
      <c r="D16" s="15" t="inlineStr">
        <is>
          <t>JAMES READY 5.5</t>
        </is>
      </c>
      <c r="E16" s="14" t="inlineStr">
        <is>
          <t>Cans</t>
        </is>
      </c>
      <c r="F16" s="14" t="n">
        <v>355</v>
      </c>
      <c r="G16" s="15" t="inlineStr">
        <is>
          <t>Cans  355 ml</t>
        </is>
      </c>
      <c r="H16" s="14" t="n">
        <v>60</v>
      </c>
      <c r="I16" s="16" t="n">
        <v>90.98999999999999</v>
      </c>
      <c r="J16" s="16" t="n">
        <v>84.98999999999999</v>
      </c>
      <c r="K16" s="16" t="n">
        <v>-6</v>
      </c>
      <c r="L16" s="1">
        <f>IF(F16&gt;355,"TC",LEFT(E16,1))</f>
        <v/>
      </c>
      <c r="M16" s="1">
        <f>IF(K16&gt;0,"+","-")</f>
        <v/>
      </c>
      <c r="N16">
        <f>PROPER($D16)&amp;" "&amp;$H16&amp;$L16&amp;" "&amp;$M16&amp;"$"&amp;ABS($K16)&amp;" to $"&amp;$J16</f>
        <v/>
      </c>
      <c r="O16">
        <f>(J16/I16)*100</f>
        <v/>
      </c>
    </row>
    <row r="17" ht="15.5" customHeight="1">
      <c r="A17" s="14" t="n">
        <v>1035172</v>
      </c>
      <c r="B17" s="15" t="inlineStr">
        <is>
          <t>TBS - Retail Price</t>
        </is>
      </c>
      <c r="C17" s="15" t="inlineStr">
        <is>
          <t>LABATT BREWERIES OF CANADA LP</t>
        </is>
      </c>
      <c r="D17" s="15" t="inlineStr">
        <is>
          <t>BUDWEISER</t>
        </is>
      </c>
      <c r="E17" s="14" t="inlineStr">
        <is>
          <t>Cans</t>
        </is>
      </c>
      <c r="F17" s="14" t="n">
        <v>355</v>
      </c>
      <c r="G17" s="15" t="inlineStr">
        <is>
          <t>Cans  355 ml</t>
        </is>
      </c>
      <c r="H17" s="14" t="n">
        <v>30</v>
      </c>
      <c r="I17" s="16" t="n">
        <v>51.49</v>
      </c>
      <c r="J17" s="16" t="n">
        <v>45.99</v>
      </c>
      <c r="K17" s="16" t="n">
        <v>-5.5</v>
      </c>
      <c r="L17" s="1">
        <f>IF(F17&gt;355,"TC",LEFT(E17,1))</f>
        <v/>
      </c>
      <c r="M17" s="1">
        <f>IF(K17&gt;0,"+","-")</f>
        <v/>
      </c>
      <c r="N17">
        <f>PROPER($D17)&amp;" "&amp;$H17&amp;$L17&amp;" "&amp;$M17&amp;"$"&amp;ABS($K17)&amp;" to $"&amp;$J17</f>
        <v/>
      </c>
      <c r="O17">
        <f>(J17/I17)*100</f>
        <v/>
      </c>
    </row>
    <row r="18" ht="15.5" customHeight="1">
      <c r="A18" s="14" t="n">
        <v>3891013</v>
      </c>
      <c r="B18" s="15" t="inlineStr">
        <is>
          <t>TBS - Retail Price</t>
        </is>
      </c>
      <c r="C18" s="15" t="inlineStr">
        <is>
          <t>HEINEKEN CANADA INC</t>
        </is>
      </c>
      <c r="D18" s="15" t="inlineStr">
        <is>
          <t>HEINEKEN SILVER</t>
        </is>
      </c>
      <c r="E18" s="14" t="inlineStr">
        <is>
          <t>Bottles</t>
        </is>
      </c>
      <c r="F18" s="14" t="n">
        <v>330</v>
      </c>
      <c r="G18" s="15" t="inlineStr">
        <is>
          <t>Bottles  330 ml</t>
        </is>
      </c>
      <c r="H18" s="14" t="n">
        <v>24</v>
      </c>
      <c r="I18" s="16" t="n">
        <v>49.99</v>
      </c>
      <c r="J18" s="16" t="n">
        <v>44.99</v>
      </c>
      <c r="K18" s="16" t="n">
        <v>-5</v>
      </c>
      <c r="L18" s="1">
        <f>IF(F18&gt;355,"TC",LEFT(E18,1))</f>
        <v/>
      </c>
      <c r="M18" s="1">
        <f>IF(K18&gt;0,"+","-")</f>
        <v/>
      </c>
      <c r="N18">
        <f>PROPER($D18)&amp;" "&amp;$H18&amp;$L18&amp;" "&amp;$M18&amp;"$"&amp;ABS($K18)&amp;" to $"&amp;$J18</f>
        <v/>
      </c>
      <c r="O18">
        <f>(J18/I18)*100</f>
        <v/>
      </c>
    </row>
    <row r="19" ht="15.5" customHeight="1">
      <c r="A19" s="14" t="n">
        <v>1465033</v>
      </c>
      <c r="B19" s="15" t="inlineStr">
        <is>
          <t>TBS - Retail Price</t>
        </is>
      </c>
      <c r="C19" s="15" t="inlineStr">
        <is>
          <t>MOLSON COORS BEVERAGE COMPANY</t>
        </is>
      </c>
      <c r="D19" s="15" t="inlineStr">
        <is>
          <t>CREEMORE LAGER</t>
        </is>
      </c>
      <c r="E19" s="14" t="inlineStr">
        <is>
          <t>Cans</t>
        </is>
      </c>
      <c r="F19" s="14" t="n">
        <v>355</v>
      </c>
      <c r="G19" s="15" t="inlineStr">
        <is>
          <t>Cans  355 ml</t>
        </is>
      </c>
      <c r="H19" s="14" t="n">
        <v>24</v>
      </c>
      <c r="I19" s="16" t="n">
        <v>47.99</v>
      </c>
      <c r="J19" s="16" t="n">
        <v>42.99</v>
      </c>
      <c r="K19" s="16" t="n">
        <v>-5</v>
      </c>
      <c r="L19" s="1">
        <f>IF(F19&gt;355,"TC",LEFT(E19,1))</f>
        <v/>
      </c>
      <c r="M19" s="1">
        <f>IF(K19&gt;0,"+","-")</f>
        <v/>
      </c>
      <c r="N19">
        <f>PROPER($D19)&amp;" "&amp;$H19&amp;$L19&amp;" "&amp;$M19&amp;"$"&amp;ABS($K19)&amp;" to $"&amp;$J19</f>
        <v/>
      </c>
      <c r="O19">
        <f>(J19/I19)*100</f>
        <v/>
      </c>
    </row>
    <row r="20" ht="15.5" customHeight="1">
      <c r="A20" s="14" t="n">
        <v>3583348</v>
      </c>
      <c r="B20" s="15" t="inlineStr">
        <is>
          <t>TBS - Retail Price</t>
        </is>
      </c>
      <c r="C20" s="15" t="inlineStr">
        <is>
          <t>ROYAL UNIBREW AS</t>
        </is>
      </c>
      <c r="D20" s="15" t="inlineStr">
        <is>
          <t>FAXE 10 EXTRA</t>
        </is>
      </c>
      <c r="E20" s="14" t="inlineStr">
        <is>
          <t>Cans</t>
        </is>
      </c>
      <c r="F20" s="14" t="n">
        <v>568</v>
      </c>
      <c r="G20" s="15" t="inlineStr">
        <is>
          <t>Cans  568 ml</t>
        </is>
      </c>
      <c r="H20" s="14" t="n">
        <v>24</v>
      </c>
      <c r="I20" s="16" t="n">
        <v>85.76000000000001</v>
      </c>
      <c r="J20" s="16" t="n">
        <v>80.76000000000001</v>
      </c>
      <c r="K20" s="16" t="n">
        <v>-5</v>
      </c>
      <c r="L20" s="1">
        <f>IF(F20&gt;355,"TC",LEFT(E20,1))</f>
        <v/>
      </c>
      <c r="M20" s="1">
        <f>IF(K20&gt;0,"+","-")</f>
        <v/>
      </c>
      <c r="N20">
        <f>PROPER($D20)&amp;" "&amp;$H20&amp;$L20&amp;" "&amp;$M20&amp;"$"&amp;ABS($K20)&amp;" to $"&amp;$J20</f>
        <v/>
      </c>
      <c r="O20">
        <f>(J20/I20)*100</f>
        <v/>
      </c>
    </row>
    <row r="21" ht="15.5" customHeight="1">
      <c r="A21" s="14" t="n">
        <v>3582348</v>
      </c>
      <c r="B21" s="15" t="inlineStr">
        <is>
          <t>TBS - Retail Price</t>
        </is>
      </c>
      <c r="C21" s="15" t="inlineStr">
        <is>
          <t>ROYAL UNIBREW AS</t>
        </is>
      </c>
      <c r="D21" s="15" t="inlineStr">
        <is>
          <t>FAXE PREMIUM LAGER</t>
        </is>
      </c>
      <c r="E21" s="14" t="inlineStr">
        <is>
          <t>Cans</t>
        </is>
      </c>
      <c r="F21" s="14" t="n">
        <v>568</v>
      </c>
      <c r="G21" s="15" t="inlineStr">
        <is>
          <t>Cans  568 ml</t>
        </is>
      </c>
      <c r="H21" s="14" t="n">
        <v>24</v>
      </c>
      <c r="I21" s="16" t="n">
        <v>50.35</v>
      </c>
      <c r="J21" s="16" t="n">
        <v>45.35</v>
      </c>
      <c r="K21" s="16" t="n">
        <v>-5</v>
      </c>
      <c r="L21" s="1">
        <f>IF(F21&gt;355,"TC",LEFT(E21,1))</f>
        <v/>
      </c>
      <c r="M21" s="1">
        <f>IF(K21&gt;0,"+","-")</f>
        <v/>
      </c>
      <c r="N21">
        <f>PROPER($D21)&amp;" "&amp;$H21&amp;$L21&amp;" "&amp;$M21&amp;"$"&amp;ABS($K21)&amp;" to $"&amp;$J21</f>
        <v/>
      </c>
      <c r="O21">
        <f>(J21/I21)*100</f>
        <v/>
      </c>
    </row>
    <row r="22" ht="15.5" customHeight="1">
      <c r="A22" s="14" t="n">
        <v>1504172</v>
      </c>
      <c r="B22" s="15" t="inlineStr">
        <is>
          <t>TBS - Retail Price</t>
        </is>
      </c>
      <c r="C22" s="15" t="inlineStr">
        <is>
          <t>SLEEMAN BREWERIES LTD</t>
        </is>
      </c>
      <c r="D22" s="15" t="inlineStr">
        <is>
          <t>SLEEMAN CLEAR 2.0</t>
        </is>
      </c>
      <c r="E22" s="14" t="inlineStr">
        <is>
          <t>Cans</t>
        </is>
      </c>
      <c r="F22" s="14" t="n">
        <v>355</v>
      </c>
      <c r="G22" s="15" t="inlineStr">
        <is>
          <t>Cans  355 ml</t>
        </is>
      </c>
      <c r="H22" s="14" t="n">
        <v>30</v>
      </c>
      <c r="I22" s="16" t="n">
        <v>49.99</v>
      </c>
      <c r="J22" s="16" t="n">
        <v>44.99</v>
      </c>
      <c r="K22" s="16" t="n">
        <v>-5</v>
      </c>
      <c r="L22" s="1">
        <f>IF(F22&gt;355,"TC",LEFT(E22,1))</f>
        <v/>
      </c>
      <c r="M22" s="1">
        <f>IF(K22&gt;0,"+","-")</f>
        <v/>
      </c>
      <c r="N22">
        <f>PROPER($D22)&amp;" "&amp;$H22&amp;$L22&amp;" "&amp;$M22&amp;"$"&amp;ABS($K22)&amp;" to $"&amp;$J22</f>
        <v/>
      </c>
      <c r="O22">
        <f>(J22/I22)*100</f>
        <v/>
      </c>
    </row>
    <row r="23" ht="15.5" customHeight="1">
      <c r="A23" s="14" t="n">
        <v>2341172</v>
      </c>
      <c r="B23" s="15" t="inlineStr">
        <is>
          <t>TBS - Retail Price</t>
        </is>
      </c>
      <c r="C23" s="15" t="inlineStr">
        <is>
          <t>MOLSON COORS BEVERAGE COMPANY</t>
        </is>
      </c>
      <c r="D23" s="15" t="inlineStr">
        <is>
          <t>COORS ORIGINAL</t>
        </is>
      </c>
      <c r="E23" s="14" t="inlineStr">
        <is>
          <t>Cans</t>
        </is>
      </c>
      <c r="F23" s="14" t="n">
        <v>355</v>
      </c>
      <c r="G23" s="15" t="inlineStr">
        <is>
          <t>Cans  355 ml</t>
        </is>
      </c>
      <c r="H23" s="14" t="n">
        <v>30</v>
      </c>
      <c r="I23" s="16" t="n">
        <v>53.49</v>
      </c>
      <c r="J23" s="16" t="n">
        <v>48.99</v>
      </c>
      <c r="K23" s="16" t="n">
        <v>-4.5</v>
      </c>
      <c r="L23" s="1">
        <f>IF(F23&gt;355,"TC",LEFT(E23,1))</f>
        <v/>
      </c>
      <c r="M23" s="1">
        <f>IF(K23&gt;0,"+","-")</f>
        <v/>
      </c>
      <c r="N23">
        <f>PROPER($D23)&amp;" "&amp;$H23&amp;$L23&amp;" "&amp;$M23&amp;"$"&amp;ABS($K23)&amp;" to $"&amp;$J23</f>
        <v/>
      </c>
      <c r="O23">
        <f>(J23/I23)*100</f>
        <v/>
      </c>
    </row>
    <row r="24" ht="15.5" customHeight="1">
      <c r="A24" s="14" t="n">
        <v>3353033</v>
      </c>
      <c r="B24" s="15" t="inlineStr">
        <is>
          <t>TBS - Retail Price</t>
        </is>
      </c>
      <c r="C24" s="15" t="inlineStr">
        <is>
          <t>BEAU'S ALL NATURAL BREWING CO LTD</t>
        </is>
      </c>
      <c r="D24" s="15" t="inlineStr">
        <is>
          <t>BEAUS LUG LITE LAGER</t>
        </is>
      </c>
      <c r="E24" s="14" t="inlineStr">
        <is>
          <t>Cans</t>
        </is>
      </c>
      <c r="F24" s="14" t="n">
        <v>355</v>
      </c>
      <c r="G24" s="15" t="inlineStr">
        <is>
          <t>Cans  355 ml</t>
        </is>
      </c>
      <c r="H24" s="14" t="n">
        <v>24</v>
      </c>
      <c r="I24" s="16" t="n">
        <v>42.99</v>
      </c>
      <c r="J24" s="16" t="n">
        <v>38.99</v>
      </c>
      <c r="K24" s="16" t="n">
        <v>-4</v>
      </c>
      <c r="L24" s="1">
        <f>IF(F24&gt;355,"TC",LEFT(E24,1))</f>
        <v/>
      </c>
      <c r="M24" s="1">
        <f>IF(K24&gt;0,"+","-")</f>
        <v/>
      </c>
      <c r="N24">
        <f>PROPER($D24)&amp;" "&amp;$H24&amp;$L24&amp;" "&amp;$M24&amp;"$"&amp;ABS($K24)&amp;" to $"&amp;$J24</f>
        <v/>
      </c>
      <c r="O24">
        <f>(J24/I24)*100</f>
        <v/>
      </c>
    </row>
    <row r="25" ht="15.5" customHeight="1">
      <c r="A25" s="14" t="n">
        <v>3879042</v>
      </c>
      <c r="B25" s="15" t="inlineStr">
        <is>
          <t>TBS - Retail Price</t>
        </is>
      </c>
      <c r="C25" s="15" t="inlineStr">
        <is>
          <t>FARMERS CREED CORP</t>
        </is>
      </c>
      <c r="D25" s="15" t="inlineStr">
        <is>
          <t>GONE FISHIN LIGHT</t>
        </is>
      </c>
      <c r="E25" s="14" t="inlineStr">
        <is>
          <t>Cans</t>
        </is>
      </c>
      <c r="F25" s="14" t="n">
        <v>473</v>
      </c>
      <c r="G25" s="15" t="inlineStr">
        <is>
          <t>Cans  473 ml</t>
        </is>
      </c>
      <c r="H25" s="14" t="n">
        <v>12</v>
      </c>
      <c r="I25" s="16" t="n">
        <v>30.99</v>
      </c>
      <c r="J25" s="16" t="n">
        <v>26.99</v>
      </c>
      <c r="K25" s="16" t="n">
        <v>-4</v>
      </c>
      <c r="L25" s="1">
        <f>IF(F25&gt;355,"TC",LEFT(E25,1))</f>
        <v/>
      </c>
      <c r="M25" s="1">
        <f>IF(K25&gt;0,"+","-")</f>
        <v/>
      </c>
      <c r="N25">
        <f>PROPER($D25)&amp;" "&amp;$H25&amp;$L25&amp;" "&amp;$M25&amp;"$"&amp;ABS($K25)&amp;" to $"&amp;$J25</f>
        <v/>
      </c>
      <c r="O25">
        <f>(J25/I25)*100</f>
        <v/>
      </c>
    </row>
    <row r="26" ht="15.5" customHeight="1">
      <c r="A26" s="14" t="n">
        <v>3154042</v>
      </c>
      <c r="B26" s="15" t="inlineStr">
        <is>
          <t>TBS - Retail Price</t>
        </is>
      </c>
      <c r="C26" s="15" t="inlineStr">
        <is>
          <t>FARMERS CREED CORP</t>
        </is>
      </c>
      <c r="D26" s="15" t="inlineStr">
        <is>
          <t>LONGHORN LAGER</t>
        </is>
      </c>
      <c r="E26" s="14" t="inlineStr">
        <is>
          <t>Cans</t>
        </is>
      </c>
      <c r="F26" s="14" t="n">
        <v>473</v>
      </c>
      <c r="G26" s="15" t="inlineStr">
        <is>
          <t>Cans  473 ml</t>
        </is>
      </c>
      <c r="H26" s="14" t="n">
        <v>12</v>
      </c>
      <c r="I26" s="16" t="n">
        <v>31.99</v>
      </c>
      <c r="J26" s="16" t="n">
        <v>27.99</v>
      </c>
      <c r="K26" s="16" t="n">
        <v>-4</v>
      </c>
      <c r="L26" s="1">
        <f>IF(F26&gt;355,"TC",LEFT(E26,1))</f>
        <v/>
      </c>
      <c r="M26" s="1">
        <f>IF(K26&gt;0,"+","-")</f>
        <v/>
      </c>
      <c r="N26">
        <f>PROPER($D26)&amp;" "&amp;$H26&amp;$L26&amp;" "&amp;$M26&amp;"$"&amp;ABS($K26)&amp;" to $"&amp;$J26</f>
        <v/>
      </c>
      <c r="O26">
        <f>(J26/I26)*100</f>
        <v/>
      </c>
    </row>
    <row r="27" ht="15.5" customHeight="1">
      <c r="A27" s="14" t="n">
        <v>3715042</v>
      </c>
      <c r="B27" s="15" t="inlineStr">
        <is>
          <t>TBS - Retail Price</t>
        </is>
      </c>
      <c r="C27" s="15" t="inlineStr">
        <is>
          <t>FARMERS CREED CORP</t>
        </is>
      </c>
      <c r="D27" s="15" t="inlineStr">
        <is>
          <t>ROUGH STOCK IPA</t>
        </is>
      </c>
      <c r="E27" s="14" t="inlineStr">
        <is>
          <t>Cans</t>
        </is>
      </c>
      <c r="F27" s="14" t="n">
        <v>473</v>
      </c>
      <c r="G27" s="15" t="inlineStr">
        <is>
          <t>Cans  473 ml</t>
        </is>
      </c>
      <c r="H27" s="14" t="n">
        <v>12</v>
      </c>
      <c r="I27" s="16" t="n">
        <v>34.99</v>
      </c>
      <c r="J27" s="16" t="n">
        <v>30.99</v>
      </c>
      <c r="K27" s="16" t="n">
        <v>-4</v>
      </c>
      <c r="L27" s="1">
        <f>IF(F27&gt;355,"TC",LEFT(E27,1))</f>
        <v/>
      </c>
      <c r="M27" s="1">
        <f>IF(K27&gt;0,"+","-")</f>
        <v/>
      </c>
      <c r="N27">
        <f>PROPER($D27)&amp;" "&amp;$H27&amp;$L27&amp;" "&amp;$M27&amp;"$"&amp;ABS($K27)&amp;" to $"&amp;$J27</f>
        <v/>
      </c>
      <c r="O27">
        <f>(J27/I27)*100</f>
        <v/>
      </c>
    </row>
    <row r="28" ht="15.5" customHeight="1">
      <c r="A28" s="14" t="n">
        <v>1090033</v>
      </c>
      <c r="B28" s="15" t="inlineStr">
        <is>
          <t>TBS - Retail Price</t>
        </is>
      </c>
      <c r="C28" s="15" t="inlineStr">
        <is>
          <t>LABATT BREWERIES OF CANADA LP</t>
        </is>
      </c>
      <c r="D28" s="15" t="inlineStr">
        <is>
          <t>MILL ST ORGANIC LAG</t>
        </is>
      </c>
      <c r="E28" s="14" t="inlineStr">
        <is>
          <t>Cans</t>
        </is>
      </c>
      <c r="F28" s="14" t="n">
        <v>355</v>
      </c>
      <c r="G28" s="15" t="inlineStr">
        <is>
          <t>Cans  355 ml</t>
        </is>
      </c>
      <c r="H28" s="14" t="n">
        <v>24</v>
      </c>
      <c r="I28" s="16" t="n">
        <v>48.99</v>
      </c>
      <c r="J28" s="16" t="n">
        <v>44.99</v>
      </c>
      <c r="K28" s="16" t="n">
        <v>-4</v>
      </c>
      <c r="L28" s="1">
        <f>IF(F28&gt;355,"TC",LEFT(E28,1))</f>
        <v/>
      </c>
      <c r="M28" s="1">
        <f>IF(K28&gt;0,"+","-")</f>
        <v/>
      </c>
      <c r="N28">
        <f>PROPER($D28)&amp;" "&amp;$H28&amp;$L28&amp;" "&amp;$M28&amp;"$"&amp;ABS($K28)&amp;" to $"&amp;$J28</f>
        <v/>
      </c>
      <c r="O28">
        <f>(J28/I28)*100</f>
        <v/>
      </c>
    </row>
    <row r="29" ht="15.5" customHeight="1">
      <c r="A29" s="14" t="n">
        <v>1060100</v>
      </c>
      <c r="B29" s="15" t="inlineStr">
        <is>
          <t>TBS - Retail Price</t>
        </is>
      </c>
      <c r="C29" s="15" t="inlineStr">
        <is>
          <t>MOLSON COORS BEVERAGE COMPANY</t>
        </is>
      </c>
      <c r="D29" s="15" t="inlineStr">
        <is>
          <t>COORS LIGHT</t>
        </is>
      </c>
      <c r="E29" s="14" t="inlineStr">
        <is>
          <t>Bottles</t>
        </is>
      </c>
      <c r="F29" s="14" t="n">
        <v>341</v>
      </c>
      <c r="G29" s="15" t="inlineStr">
        <is>
          <t>Bottles  341 ml</t>
        </is>
      </c>
      <c r="H29" s="14" t="n">
        <v>28</v>
      </c>
      <c r="I29" s="16" t="n">
        <v>43.49</v>
      </c>
      <c r="J29" s="16" t="n">
        <v>39.49</v>
      </c>
      <c r="K29" s="16" t="n">
        <v>-4</v>
      </c>
      <c r="L29" s="1">
        <f>IF(F29&gt;355,"TC",LEFT(E29,1))</f>
        <v/>
      </c>
      <c r="M29" s="1">
        <f>IF(K29&gt;0,"+","-")</f>
        <v/>
      </c>
      <c r="N29">
        <f>PROPER($D29)&amp;" "&amp;$H29&amp;$L29&amp;" "&amp;$M29&amp;"$"&amp;ABS($K29)&amp;" to $"&amp;$J29</f>
        <v/>
      </c>
      <c r="O29">
        <f>(J29/I29)*100</f>
        <v/>
      </c>
    </row>
    <row r="30" ht="15.5" customHeight="1">
      <c r="A30" s="14" t="n">
        <v>1879055</v>
      </c>
      <c r="B30" s="15" t="inlineStr">
        <is>
          <t>TBS - Retail Price</t>
        </is>
      </c>
      <c r="C30" s="15" t="inlineStr">
        <is>
          <t>MOLSON COORS BEVERAGE COMPANY</t>
        </is>
      </c>
      <c r="D30" s="15" t="inlineStr">
        <is>
          <t>MILLER HIGH LIFE</t>
        </is>
      </c>
      <c r="E30" s="14" t="inlineStr">
        <is>
          <t>Bottles</t>
        </is>
      </c>
      <c r="F30" s="14" t="n">
        <v>355</v>
      </c>
      <c r="G30" s="15" t="inlineStr">
        <is>
          <t>Bottles  355 ml</t>
        </is>
      </c>
      <c r="H30" s="14" t="n">
        <v>24</v>
      </c>
      <c r="I30" s="16" t="n">
        <v>39.99</v>
      </c>
      <c r="J30" s="16" t="n">
        <v>35.99</v>
      </c>
      <c r="K30" s="16" t="n">
        <v>-4</v>
      </c>
      <c r="L30" s="1">
        <f>IF(F30&gt;355,"TC",LEFT(E30,1))</f>
        <v/>
      </c>
      <c r="M30" s="1">
        <f>IF(K30&gt;0,"+","-")</f>
        <v/>
      </c>
      <c r="N30">
        <f>PROPER($D30)&amp;" "&amp;$H30&amp;$L30&amp;" "&amp;$M30&amp;"$"&amp;ABS($K30)&amp;" to $"&amp;$J30</f>
        <v/>
      </c>
      <c r="O30">
        <f>(J30/I30)*100</f>
        <v/>
      </c>
    </row>
    <row r="31" ht="15.5" customHeight="1">
      <c r="A31" s="14" t="n">
        <v>1873005</v>
      </c>
      <c r="B31" s="15" t="inlineStr">
        <is>
          <t>TBS - Retail Price</t>
        </is>
      </c>
      <c r="C31" s="15" t="inlineStr">
        <is>
          <t>MOLSON COORS BEVERAGE COMPANY</t>
        </is>
      </c>
      <c r="D31" s="15" t="inlineStr">
        <is>
          <t>MILLER LITE</t>
        </is>
      </c>
      <c r="E31" s="14" t="inlineStr">
        <is>
          <t>Bottles</t>
        </is>
      </c>
      <c r="F31" s="14" t="n">
        <v>341</v>
      </c>
      <c r="G31" s="15" t="inlineStr">
        <is>
          <t>Bottles  341 ml</t>
        </is>
      </c>
      <c r="H31" s="14" t="n">
        <v>24</v>
      </c>
      <c r="I31" s="16" t="n">
        <v>42.99</v>
      </c>
      <c r="J31" s="16" t="n">
        <v>38.99</v>
      </c>
      <c r="K31" s="16" t="n">
        <v>-4</v>
      </c>
      <c r="L31" s="1">
        <f>IF(F31&gt;355,"TC",LEFT(E31,1))</f>
        <v/>
      </c>
      <c r="M31" s="1">
        <f>IF(K31&gt;0,"+","-")</f>
        <v/>
      </c>
      <c r="N31">
        <f>PROPER($D31)&amp;" "&amp;$H31&amp;$L31&amp;" "&amp;$M31&amp;"$"&amp;ABS($K31)&amp;" to $"&amp;$J31</f>
        <v/>
      </c>
      <c r="O31">
        <f>(J31/I31)*100</f>
        <v/>
      </c>
    </row>
    <row r="32" ht="15.5" customHeight="1">
      <c r="A32" s="14" t="n">
        <v>1599033</v>
      </c>
      <c r="B32" s="15" t="inlineStr">
        <is>
          <t>TBS - Retail Price</t>
        </is>
      </c>
      <c r="C32" s="15" t="inlineStr">
        <is>
          <t>MUSKOKA COTTAGE BREWERY INC</t>
        </is>
      </c>
      <c r="D32" s="15" t="inlineStr">
        <is>
          <t>MUSKOKA DETOUR</t>
        </is>
      </c>
      <c r="E32" s="14" t="inlineStr">
        <is>
          <t>Cans</t>
        </is>
      </c>
      <c r="F32" s="14" t="n">
        <v>355</v>
      </c>
      <c r="G32" s="15" t="inlineStr">
        <is>
          <t>Cans  355 ml</t>
        </is>
      </c>
      <c r="H32" s="14" t="n">
        <v>24</v>
      </c>
      <c r="I32" s="16" t="n">
        <v>51.49</v>
      </c>
      <c r="J32" s="16" t="n">
        <v>47.49</v>
      </c>
      <c r="K32" s="16" t="n">
        <v>-4</v>
      </c>
      <c r="L32" s="1">
        <f>IF(F32&gt;355,"TC",LEFT(E32,1))</f>
        <v/>
      </c>
      <c r="M32" s="1">
        <f>IF(K32&gt;0,"+","-")</f>
        <v/>
      </c>
      <c r="N32">
        <f>PROPER($D32)&amp;" "&amp;$H32&amp;$L32&amp;" "&amp;$M32&amp;"$"&amp;ABS($K32)&amp;" to $"&amp;$J32</f>
        <v/>
      </c>
      <c r="O32">
        <f>(J32/I32)*100</f>
        <v/>
      </c>
    </row>
    <row r="33" ht="15.5" customHeight="1">
      <c r="A33" s="14" t="n">
        <v>1584041</v>
      </c>
      <c r="B33" s="15" t="inlineStr">
        <is>
          <t>TBS - Licensee</t>
        </is>
      </c>
      <c r="C33" s="15" t="inlineStr">
        <is>
          <t>NICKEL BROOK BREWING COMPANY INC</t>
        </is>
      </c>
      <c r="D33" s="15" t="inlineStr">
        <is>
          <t>HEADSTOCK IPA</t>
        </is>
      </c>
      <c r="E33" s="14" t="inlineStr">
        <is>
          <t>Cans</t>
        </is>
      </c>
      <c r="F33" s="14" t="n">
        <v>473</v>
      </c>
      <c r="G33" s="15" t="inlineStr">
        <is>
          <t>Cans  473 ml</t>
        </is>
      </c>
      <c r="H33" s="14" t="n">
        <v>24</v>
      </c>
      <c r="I33" s="16" t="n">
        <v>65.88</v>
      </c>
      <c r="J33" s="16" t="n">
        <v>61.88</v>
      </c>
      <c r="K33" s="16" t="n">
        <v>-4</v>
      </c>
      <c r="L33" s="1">
        <f>IF(F33&gt;355,"TC",LEFT(E33,1))</f>
        <v/>
      </c>
      <c r="M33" s="1">
        <f>IF(K33&gt;0,"+","-")</f>
        <v/>
      </c>
      <c r="N33">
        <f>PROPER($D33)&amp;" "&amp;$H33&amp;$L33&amp;" "&amp;$M33&amp;"$"&amp;ABS($K33)&amp;" to $"&amp;$J33</f>
        <v/>
      </c>
      <c r="O33">
        <f>(J33/I33)*100</f>
        <v/>
      </c>
    </row>
    <row r="34" ht="15.5" customHeight="1">
      <c r="A34" s="14" t="n">
        <v>1584041</v>
      </c>
      <c r="B34" s="15" t="inlineStr">
        <is>
          <t>TBS - Retail Price</t>
        </is>
      </c>
      <c r="C34" s="15" t="inlineStr">
        <is>
          <t>NICKEL BROOK BREWING COMPANY INC</t>
        </is>
      </c>
      <c r="D34" s="15" t="inlineStr">
        <is>
          <t>HEADSTOCK IPA</t>
        </is>
      </c>
      <c r="E34" s="14" t="inlineStr">
        <is>
          <t>Cans</t>
        </is>
      </c>
      <c r="F34" s="14" t="n">
        <v>473</v>
      </c>
      <c r="G34" s="15" t="inlineStr">
        <is>
          <t>Cans  473 ml</t>
        </is>
      </c>
      <c r="H34" s="14" t="n">
        <v>24</v>
      </c>
      <c r="I34" s="16" t="n">
        <v>65.88</v>
      </c>
      <c r="J34" s="16" t="n">
        <v>61.88</v>
      </c>
      <c r="K34" s="16" t="n">
        <v>-4</v>
      </c>
      <c r="L34" s="1">
        <f>IF(F34&gt;355,"TC",LEFT(E34,1))</f>
        <v/>
      </c>
      <c r="M34" s="1">
        <f>IF(K34&gt;0,"+","-")</f>
        <v/>
      </c>
      <c r="N34">
        <f>PROPER($D34)&amp;" "&amp;$H34&amp;$L34&amp;" "&amp;$M34&amp;"$"&amp;ABS($K34)&amp;" to $"&amp;$J34</f>
        <v/>
      </c>
      <c r="O34">
        <f>(J34/I34)*100</f>
        <v/>
      </c>
    </row>
    <row r="35" ht="15.5" customHeight="1">
      <c r="A35" s="14" t="n">
        <v>2022041</v>
      </c>
      <c r="B35" s="15" t="inlineStr">
        <is>
          <t>TBS - Licensee</t>
        </is>
      </c>
      <c r="C35" s="15" t="inlineStr">
        <is>
          <t>NICKEL BROOK BREWING COMPANY INC</t>
        </is>
      </c>
      <c r="D35" s="15" t="inlineStr">
        <is>
          <t>WICKED AWESOME IPA</t>
        </is>
      </c>
      <c r="E35" s="14" t="inlineStr">
        <is>
          <t>Cans</t>
        </is>
      </c>
      <c r="F35" s="14" t="n">
        <v>473</v>
      </c>
      <c r="G35" s="15" t="inlineStr">
        <is>
          <t>Cans  473 ml</t>
        </is>
      </c>
      <c r="H35" s="14" t="n">
        <v>24</v>
      </c>
      <c r="I35" s="16" t="n">
        <v>65.88</v>
      </c>
      <c r="J35" s="16" t="n">
        <v>61.88</v>
      </c>
      <c r="K35" s="16" t="n">
        <v>-4</v>
      </c>
      <c r="L35" s="1">
        <f>IF(F35&gt;355,"TC",LEFT(E35,1))</f>
        <v/>
      </c>
      <c r="M35" s="1">
        <f>IF(K35&gt;0,"+","-")</f>
        <v/>
      </c>
      <c r="N35">
        <f>PROPER($D35)&amp;" "&amp;$H35&amp;$L35&amp;" "&amp;$M35&amp;"$"&amp;ABS($K35)&amp;" to $"&amp;$J35</f>
        <v/>
      </c>
      <c r="O35">
        <f>(J35/I35)*100</f>
        <v/>
      </c>
    </row>
    <row r="36" ht="15.5" customHeight="1">
      <c r="A36" s="14" t="n">
        <v>2022041</v>
      </c>
      <c r="B36" s="15" t="inlineStr">
        <is>
          <t>TBS - Retail Price</t>
        </is>
      </c>
      <c r="C36" s="15" t="inlineStr">
        <is>
          <t>NICKEL BROOK BREWING COMPANY INC</t>
        </is>
      </c>
      <c r="D36" s="15" t="inlineStr">
        <is>
          <t>WICKED AWESOME IPA</t>
        </is>
      </c>
      <c r="E36" s="14" t="inlineStr">
        <is>
          <t>Cans</t>
        </is>
      </c>
      <c r="F36" s="14" t="n">
        <v>473</v>
      </c>
      <c r="G36" s="15" t="inlineStr">
        <is>
          <t>Cans  473 ml</t>
        </is>
      </c>
      <c r="H36" s="14" t="n">
        <v>24</v>
      </c>
      <c r="I36" s="16" t="n">
        <v>65.88</v>
      </c>
      <c r="J36" s="16" t="n">
        <v>61.88</v>
      </c>
      <c r="K36" s="16" t="n">
        <v>-4</v>
      </c>
      <c r="L36" s="1">
        <f>IF(F36&gt;355,"TC",LEFT(E36,1))</f>
        <v/>
      </c>
      <c r="M36" s="1">
        <f>IF(K36&gt;0,"+","-")</f>
        <v/>
      </c>
      <c r="N36">
        <f>PROPER($D36)&amp;" "&amp;$H36&amp;$L36&amp;" "&amp;$M36&amp;"$"&amp;ABS($K36)&amp;" to $"&amp;$J36</f>
        <v/>
      </c>
      <c r="O36">
        <f>(J36/I36)*100</f>
        <v/>
      </c>
    </row>
    <row r="37" ht="15.5" customHeight="1">
      <c r="A37" s="14" t="n">
        <v>1065356</v>
      </c>
      <c r="B37" s="15" t="inlineStr">
        <is>
          <t>TBS - Retail Price</t>
        </is>
      </c>
      <c r="C37" s="15" t="inlineStr">
        <is>
          <t>STEAM WHISTLE BREWING INC</t>
        </is>
      </c>
      <c r="D37" s="15" t="inlineStr">
        <is>
          <t>STEAM WHISTLE</t>
        </is>
      </c>
      <c r="E37" s="14" t="inlineStr">
        <is>
          <t>Bottles</t>
        </is>
      </c>
      <c r="F37" s="14" t="n">
        <v>341</v>
      </c>
      <c r="G37" s="15" t="inlineStr">
        <is>
          <t>Bottles  341 ml</t>
        </is>
      </c>
      <c r="H37" s="14" t="n">
        <v>24</v>
      </c>
      <c r="I37" s="16" t="n">
        <v>52.49</v>
      </c>
      <c r="J37" s="16" t="n">
        <v>48.49</v>
      </c>
      <c r="K37" s="16" t="n">
        <v>-4</v>
      </c>
      <c r="L37" s="1">
        <f>IF(F37&gt;355,"TC",LEFT(E37,1))</f>
        <v/>
      </c>
      <c r="M37" s="1">
        <f>IF(K37&gt;0,"+","-")</f>
        <v/>
      </c>
      <c r="N37">
        <f>PROPER($D37)&amp;" "&amp;$H37&amp;$L37&amp;" "&amp;$M37&amp;"$"&amp;ABS($K37)&amp;" to $"&amp;$J37</f>
        <v/>
      </c>
      <c r="O37">
        <f>(J37/I37)*100</f>
        <v/>
      </c>
    </row>
    <row r="38" ht="15.5" customHeight="1">
      <c r="A38" s="14" t="n">
        <v>1448041</v>
      </c>
      <c r="B38" s="15" t="inlineStr">
        <is>
          <t>TBS - Retail Price</t>
        </is>
      </c>
      <c r="C38" s="15" t="inlineStr">
        <is>
          <t>WELLINGTON COUNTY BREWERY INC</t>
        </is>
      </c>
      <c r="D38" s="15" t="inlineStr">
        <is>
          <t>HELLES LAGER</t>
        </is>
      </c>
      <c r="E38" s="14" t="inlineStr">
        <is>
          <t>Cans</t>
        </is>
      </c>
      <c r="F38" s="14" t="n">
        <v>473</v>
      </c>
      <c r="G38" s="15" t="inlineStr">
        <is>
          <t>Cans  473 ml</t>
        </is>
      </c>
      <c r="H38" s="14" t="n">
        <v>24</v>
      </c>
      <c r="I38" s="16" t="n">
        <v>62.99</v>
      </c>
      <c r="J38" s="16" t="n">
        <v>58.99</v>
      </c>
      <c r="K38" s="16" t="n">
        <v>-4</v>
      </c>
      <c r="L38" s="1">
        <f>IF(F38&gt;355,"TC",LEFT(E38,1))</f>
        <v/>
      </c>
      <c r="M38" s="1">
        <f>IF(K38&gt;0,"+","-")</f>
        <v/>
      </c>
      <c r="N38">
        <f>PROPER($D38)&amp;" "&amp;$H38&amp;$L38&amp;" "&amp;$M38&amp;"$"&amp;ABS($K38)&amp;" to $"&amp;$J38</f>
        <v/>
      </c>
      <c r="O38">
        <f>(J38/I38)*100</f>
        <v/>
      </c>
    </row>
    <row r="39" ht="15.5" customHeight="1">
      <c r="A39" s="14" t="n">
        <v>2042051</v>
      </c>
      <c r="B39" s="15" t="inlineStr">
        <is>
          <t>TBS - Retail Price</t>
        </is>
      </c>
      <c r="C39" s="15" t="inlineStr">
        <is>
          <t>SLEEMAN BREWERIES LTD</t>
        </is>
      </c>
      <c r="D39" s="15" t="inlineStr">
        <is>
          <t>COLT 45</t>
        </is>
      </c>
      <c r="E39" s="14" t="inlineStr">
        <is>
          <t>Cans</t>
        </is>
      </c>
      <c r="F39" s="14" t="n">
        <v>710</v>
      </c>
      <c r="G39" s="15" t="inlineStr">
        <is>
          <t>Cans  710 ml</t>
        </is>
      </c>
      <c r="H39" s="14" t="n">
        <v>12</v>
      </c>
      <c r="I39" s="16" t="n">
        <v>42.61</v>
      </c>
      <c r="J39" s="16" t="n">
        <v>38.97</v>
      </c>
      <c r="K39" s="16" t="n">
        <v>-3.64</v>
      </c>
      <c r="L39" s="1">
        <f>IF(F39&gt;355,"TC",LEFT(E39,1))</f>
        <v/>
      </c>
      <c r="M39" s="1">
        <f>IF(K39&gt;0,"+","-")</f>
        <v/>
      </c>
      <c r="N39">
        <f>PROPER($D39)&amp;" "&amp;$H39&amp;$L39&amp;" "&amp;$M39&amp;"$"&amp;ABS($K39)&amp;" to $"&amp;$J39</f>
        <v/>
      </c>
      <c r="O39">
        <f>(J39/I39)*100</f>
        <v/>
      </c>
    </row>
    <row r="40" ht="15.5" customHeight="1">
      <c r="A40" s="14" t="n">
        <v>1319055</v>
      </c>
      <c r="B40" s="15" t="inlineStr">
        <is>
          <t>TBS - Retail Price</t>
        </is>
      </c>
      <c r="C40" s="15" t="inlineStr">
        <is>
          <t>CERVECERIA MODELO SA DE CV</t>
        </is>
      </c>
      <c r="D40" s="15" t="inlineStr">
        <is>
          <t>MODELO ESPECIAL IMPT</t>
        </is>
      </c>
      <c r="E40" s="14" t="inlineStr">
        <is>
          <t>Bottles</t>
        </is>
      </c>
      <c r="F40" s="14" t="n">
        <v>355</v>
      </c>
      <c r="G40" s="15" t="inlineStr">
        <is>
          <t>Bottles  355 ml</t>
        </is>
      </c>
      <c r="H40" s="14" t="n">
        <v>24</v>
      </c>
      <c r="I40" s="16" t="n">
        <v>53.99</v>
      </c>
      <c r="J40" s="16" t="n">
        <v>50.99</v>
      </c>
      <c r="K40" s="16" t="n">
        <v>-3</v>
      </c>
      <c r="L40" s="1">
        <f>IF(F40&gt;355,"TC",LEFT(E40,1))</f>
        <v/>
      </c>
      <c r="M40" s="1">
        <f>IF(K40&gt;0,"+","-")</f>
        <v/>
      </c>
      <c r="N40">
        <f>PROPER($D40)&amp;" "&amp;$H40&amp;$L40&amp;" "&amp;$M40&amp;"$"&amp;ABS($K40)&amp;" to $"&amp;$J40</f>
        <v/>
      </c>
      <c r="O40">
        <f>(J40/I40)*100</f>
        <v/>
      </c>
    </row>
    <row r="41" ht="15.5" customHeight="1">
      <c r="A41" s="14" t="n">
        <v>1045172</v>
      </c>
      <c r="B41" s="15" t="inlineStr">
        <is>
          <t>TBS - Retail Price</t>
        </is>
      </c>
      <c r="C41" s="15" t="inlineStr">
        <is>
          <t>LABATT BREWERIES OF CANADA LP</t>
        </is>
      </c>
      <c r="D41" s="15" t="inlineStr">
        <is>
          <t>BUSCH LAGER</t>
        </is>
      </c>
      <c r="E41" s="14" t="inlineStr">
        <is>
          <t>Cans</t>
        </is>
      </c>
      <c r="F41" s="14" t="n">
        <v>355</v>
      </c>
      <c r="G41" s="15" t="inlineStr">
        <is>
          <t>Cans  355 ml</t>
        </is>
      </c>
      <c r="H41" s="14" t="n">
        <v>30</v>
      </c>
      <c r="I41" s="16" t="n">
        <v>47.99</v>
      </c>
      <c r="J41" s="16" t="n">
        <v>44.99</v>
      </c>
      <c r="K41" s="16" t="n">
        <v>-3</v>
      </c>
      <c r="L41" s="1">
        <f>IF(F41&gt;355,"TC",LEFT(E41,1))</f>
        <v/>
      </c>
      <c r="M41" s="1">
        <f>IF(K41&gt;0,"+","-")</f>
        <v/>
      </c>
      <c r="N41">
        <f>PROPER($D41)&amp;" "&amp;$H41&amp;$L41&amp;" "&amp;$M41&amp;"$"&amp;ABS($K41)&amp;" to $"&amp;$J41</f>
        <v/>
      </c>
      <c r="O41">
        <f>(J41/I41)*100</f>
        <v/>
      </c>
    </row>
    <row r="42" ht="15.5" customHeight="1">
      <c r="A42" s="14" t="n">
        <v>1026100</v>
      </c>
      <c r="B42" s="15" t="inlineStr">
        <is>
          <t>TBS - Retail Price</t>
        </is>
      </c>
      <c r="C42" s="15" t="inlineStr">
        <is>
          <t>LABATT BREWERIES OF CANADA LP</t>
        </is>
      </c>
      <c r="D42" s="15" t="inlineStr">
        <is>
          <t>KEITHS</t>
        </is>
      </c>
      <c r="E42" s="14" t="inlineStr">
        <is>
          <t>Bottles</t>
        </is>
      </c>
      <c r="F42" s="14" t="n">
        <v>341</v>
      </c>
      <c r="G42" s="15" t="inlineStr">
        <is>
          <t>Bottles  341 ml</t>
        </is>
      </c>
      <c r="H42" s="14" t="n">
        <v>28</v>
      </c>
      <c r="I42" s="16" t="n">
        <v>45.99</v>
      </c>
      <c r="J42" s="16" t="n">
        <v>42.99</v>
      </c>
      <c r="K42" s="16" t="n">
        <v>-3</v>
      </c>
      <c r="L42" s="1">
        <f>IF(F42&gt;355,"TC",LEFT(E42,1))</f>
        <v/>
      </c>
      <c r="M42" s="1">
        <f>IF(K42&gt;0,"+","-")</f>
        <v/>
      </c>
      <c r="N42">
        <f>PROPER($D42)&amp;" "&amp;$H42&amp;$L42&amp;" "&amp;$M42&amp;"$"&amp;ABS($K42)&amp;" to $"&amp;$J42</f>
        <v/>
      </c>
      <c r="O42">
        <f>(J42/I42)*100</f>
        <v/>
      </c>
    </row>
    <row r="43" ht="15.5" customHeight="1">
      <c r="A43" s="14" t="n">
        <v>1030172</v>
      </c>
      <c r="B43" s="15" t="inlineStr">
        <is>
          <t>TBS - Retail Price</t>
        </is>
      </c>
      <c r="C43" s="15" t="inlineStr">
        <is>
          <t>LABATT BREWERIES OF CANADA LP</t>
        </is>
      </c>
      <c r="D43" s="15" t="inlineStr">
        <is>
          <t>MICHELOB ULTRA</t>
        </is>
      </c>
      <c r="E43" s="14" t="inlineStr">
        <is>
          <t>Cans</t>
        </is>
      </c>
      <c r="F43" s="14" t="n">
        <v>355</v>
      </c>
      <c r="G43" s="15" t="inlineStr">
        <is>
          <t>Cans  355 ml</t>
        </is>
      </c>
      <c r="H43" s="14" t="n">
        <v>30</v>
      </c>
      <c r="I43" s="16" t="n">
        <v>52.49</v>
      </c>
      <c r="J43" s="16" t="n">
        <v>49.49</v>
      </c>
      <c r="K43" s="16" t="n">
        <v>-3</v>
      </c>
      <c r="L43" s="1">
        <f>IF(F43&gt;355,"TC",LEFT(E43,1))</f>
        <v/>
      </c>
      <c r="M43" s="1">
        <f>IF(K43&gt;0,"+","-")</f>
        <v/>
      </c>
      <c r="N43">
        <f>PROPER($D43)&amp;" "&amp;$H43&amp;$L43&amp;" "&amp;$M43&amp;"$"&amp;ABS($K43)&amp;" to $"&amp;$J43</f>
        <v/>
      </c>
      <c r="O43">
        <f>(J43/I43)*100</f>
        <v/>
      </c>
    </row>
    <row r="44" ht="15.5" customHeight="1">
      <c r="A44" s="14" t="n">
        <v>1056172</v>
      </c>
      <c r="B44" s="15" t="inlineStr">
        <is>
          <t>TBS - Retail Price</t>
        </is>
      </c>
      <c r="C44" s="15" t="inlineStr">
        <is>
          <t>MOLSON COORS BEVERAGE COMPANY</t>
        </is>
      </c>
      <c r="D44" s="15" t="inlineStr">
        <is>
          <t>MOLSON CANADIAN</t>
        </is>
      </c>
      <c r="E44" s="14" t="inlineStr">
        <is>
          <t>Cans</t>
        </is>
      </c>
      <c r="F44" s="14" t="n">
        <v>355</v>
      </c>
      <c r="G44" s="15" t="inlineStr">
        <is>
          <t>Cans  355 ml</t>
        </is>
      </c>
      <c r="H44" s="14" t="n">
        <v>30</v>
      </c>
      <c r="I44" s="16" t="n">
        <v>50.99</v>
      </c>
      <c r="J44" s="16" t="n">
        <v>47.99</v>
      </c>
      <c r="K44" s="16" t="n">
        <v>-3</v>
      </c>
      <c r="L44" s="1">
        <f>IF(F44&gt;355,"TC",LEFT(E44,1))</f>
        <v/>
      </c>
      <c r="M44" s="1">
        <f>IF(K44&gt;0,"+","-")</f>
        <v/>
      </c>
      <c r="N44">
        <f>PROPER($D44)&amp;" "&amp;$H44&amp;$L44&amp;" "&amp;$M44&amp;"$"&amp;ABS($K44)&amp;" to $"&amp;$J44</f>
        <v/>
      </c>
      <c r="O44">
        <f>(J44/I44)*100</f>
        <v/>
      </c>
    </row>
    <row r="45" ht="15.5" customHeight="1">
      <c r="A45" s="14" t="n">
        <v>1628172</v>
      </c>
      <c r="B45" s="15" t="inlineStr">
        <is>
          <t>TBS - Retail Price</t>
        </is>
      </c>
      <c r="C45" s="15" t="inlineStr">
        <is>
          <t>MOOSEHEAD BREWERIES LIMITED</t>
        </is>
      </c>
      <c r="D45" s="15" t="inlineStr">
        <is>
          <t>MOOSEHEAD LAGER</t>
        </is>
      </c>
      <c r="E45" s="14" t="inlineStr">
        <is>
          <t>Cans</t>
        </is>
      </c>
      <c r="F45" s="14" t="n">
        <v>355</v>
      </c>
      <c r="G45" s="15" t="inlineStr">
        <is>
          <t>Cans  355 ml</t>
        </is>
      </c>
      <c r="H45" s="14" t="n">
        <v>30</v>
      </c>
      <c r="I45" s="16" t="n">
        <v>49.99</v>
      </c>
      <c r="J45" s="16" t="n">
        <v>46.99</v>
      </c>
      <c r="K45" s="16" t="n">
        <v>-3</v>
      </c>
      <c r="L45" s="1">
        <f>IF(F45&gt;355,"TC",LEFT(E45,1))</f>
        <v/>
      </c>
      <c r="M45" s="1">
        <f>IF(K45&gt;0,"+","-")</f>
        <v/>
      </c>
      <c r="N45">
        <f>PROPER($D45)&amp;" "&amp;$H45&amp;$L45&amp;" "&amp;$M45&amp;"$"&amp;ABS($K45)&amp;" to $"&amp;$J45</f>
        <v/>
      </c>
      <c r="O45">
        <f>(J45/I45)*100</f>
        <v/>
      </c>
    </row>
    <row r="46" ht="15.5" customHeight="1">
      <c r="A46" s="14" t="n">
        <v>1490005</v>
      </c>
      <c r="B46" s="15" t="inlineStr">
        <is>
          <t>TBS - Retail Price</t>
        </is>
      </c>
      <c r="C46" s="15" t="inlineStr">
        <is>
          <t>SLEEMAN BREWERIES LTD</t>
        </is>
      </c>
      <c r="D46" s="15" t="inlineStr">
        <is>
          <t>SLEEMAN ORIGINAL LGR</t>
        </is>
      </c>
      <c r="E46" s="14" t="inlineStr">
        <is>
          <t>Bottles</t>
        </is>
      </c>
      <c r="F46" s="14" t="n">
        <v>341</v>
      </c>
      <c r="G46" s="15" t="inlineStr">
        <is>
          <t>Bottles  341 ml</t>
        </is>
      </c>
      <c r="H46" s="14" t="n">
        <v>24</v>
      </c>
      <c r="I46" s="16" t="n">
        <v>40.99</v>
      </c>
      <c r="J46" s="16" t="n">
        <v>37.99</v>
      </c>
      <c r="K46" s="16" t="n">
        <v>-3</v>
      </c>
      <c r="L46" s="1">
        <f>IF(F46&gt;355,"TC",LEFT(E46,1))</f>
        <v/>
      </c>
      <c r="M46" s="1">
        <f>IF(K46&gt;0,"+","-")</f>
        <v/>
      </c>
      <c r="N46">
        <f>PROPER($D46)&amp;" "&amp;$H46&amp;$L46&amp;" "&amp;$M46&amp;"$"&amp;ABS($K46)&amp;" to $"&amp;$J46</f>
        <v/>
      </c>
      <c r="O46">
        <f>(J46/I46)*100</f>
        <v/>
      </c>
    </row>
    <row r="47" ht="15.5" customHeight="1">
      <c r="A47" s="14" t="n">
        <v>3353031</v>
      </c>
      <c r="B47" s="15" t="inlineStr">
        <is>
          <t>TBS - Retail Price</t>
        </is>
      </c>
      <c r="C47" s="15" t="inlineStr">
        <is>
          <t>BEAU'S ALL NATURAL BREWING CO LTD</t>
        </is>
      </c>
      <c r="D47" s="15" t="inlineStr">
        <is>
          <t>BEAUS LUG LITE LAGER</t>
        </is>
      </c>
      <c r="E47" s="14" t="inlineStr">
        <is>
          <t>Cans</t>
        </is>
      </c>
      <c r="F47" s="14" t="n">
        <v>355</v>
      </c>
      <c r="G47" s="15" t="inlineStr">
        <is>
          <t>Cans  355 ml</t>
        </is>
      </c>
      <c r="H47" s="14" t="n">
        <v>12</v>
      </c>
      <c r="I47" s="16" t="n">
        <v>24.49</v>
      </c>
      <c r="J47" s="16" t="n">
        <v>22.49</v>
      </c>
      <c r="K47" s="16" t="n">
        <v>-2</v>
      </c>
      <c r="L47" s="1">
        <f>IF(F47&gt;355,"TC",LEFT(E47,1))</f>
        <v/>
      </c>
      <c r="M47" s="1">
        <f>IF(K47&gt;0,"+","-")</f>
        <v/>
      </c>
      <c r="N47">
        <f>PROPER($D47)&amp;" "&amp;$H47&amp;$L47&amp;" "&amp;$M47&amp;"$"&amp;ABS($K47)&amp;" to $"&amp;$J47</f>
        <v/>
      </c>
      <c r="O47">
        <f>(J47/I47)*100</f>
        <v/>
      </c>
    </row>
    <row r="48" ht="15.5" customHeight="1">
      <c r="A48" s="14" t="n">
        <v>3888033</v>
      </c>
      <c r="B48" s="15" t="inlineStr">
        <is>
          <t>TBS - Retail Price</t>
        </is>
      </c>
      <c r="C48" s="15" t="inlineStr">
        <is>
          <t>FORMOSA SPRINGS BREWERY INC.</t>
        </is>
      </c>
      <c r="D48" s="15" t="inlineStr">
        <is>
          <t>RED BARON LIGHT</t>
        </is>
      </c>
      <c r="E48" s="14" t="inlineStr">
        <is>
          <t>Cans</t>
        </is>
      </c>
      <c r="F48" s="14" t="n">
        <v>355</v>
      </c>
      <c r="G48" s="15" t="inlineStr">
        <is>
          <t>Cans  355 ml</t>
        </is>
      </c>
      <c r="H48" s="14" t="n">
        <v>24</v>
      </c>
      <c r="I48" s="16" t="n">
        <v>35.04</v>
      </c>
      <c r="J48" s="16" t="n">
        <v>33.04</v>
      </c>
      <c r="K48" s="16" t="n">
        <v>-2</v>
      </c>
      <c r="L48" s="1">
        <f>IF(F48&gt;355,"TC",LEFT(E48,1))</f>
        <v/>
      </c>
      <c r="M48" s="1">
        <f>IF(K48&gt;0,"+","-")</f>
        <v/>
      </c>
      <c r="N48">
        <f>PROPER($D48)&amp;" "&amp;$H48&amp;$L48&amp;" "&amp;$M48&amp;"$"&amp;ABS($K48)&amp;" to $"&amp;$J48</f>
        <v/>
      </c>
      <c r="O48">
        <f>(J48/I48)*100</f>
        <v/>
      </c>
    </row>
    <row r="49" ht="15.5" customHeight="1">
      <c r="A49" s="14" t="n">
        <v>1041042</v>
      </c>
      <c r="B49" s="15" t="inlineStr">
        <is>
          <t>TBS - Retail Price</t>
        </is>
      </c>
      <c r="C49" s="15" t="inlineStr">
        <is>
          <t>LABATT BREWERIES OF CANADA LP</t>
        </is>
      </c>
      <c r="D49" s="15" t="inlineStr">
        <is>
          <t>BUD LIGHT</t>
        </is>
      </c>
      <c r="E49" s="14" t="inlineStr">
        <is>
          <t>Cans</t>
        </is>
      </c>
      <c r="F49" s="14" t="n">
        <v>473</v>
      </c>
      <c r="G49" s="15" t="inlineStr">
        <is>
          <t>Cans  473 ml</t>
        </is>
      </c>
      <c r="H49" s="14" t="n">
        <v>12</v>
      </c>
      <c r="I49" s="16" t="n">
        <v>27.99</v>
      </c>
      <c r="J49" s="16" t="n">
        <v>25.99</v>
      </c>
      <c r="K49" s="16" t="n">
        <v>-2</v>
      </c>
      <c r="L49" s="1">
        <f>IF(F49&gt;355,"TC",LEFT(E49,1))</f>
        <v/>
      </c>
      <c r="M49" s="1">
        <f>IF(K49&gt;0,"+","-")</f>
        <v/>
      </c>
      <c r="N49">
        <f>PROPER($D49)&amp;" "&amp;$H49&amp;$L49&amp;" "&amp;$M49&amp;"$"&amp;ABS($K49)&amp;" to $"&amp;$J49</f>
        <v/>
      </c>
      <c r="O49">
        <f>(J49/I49)*100</f>
        <v/>
      </c>
    </row>
    <row r="50" ht="15.5" customHeight="1">
      <c r="A50" s="14" t="n">
        <v>2598042</v>
      </c>
      <c r="B50" s="15" t="inlineStr">
        <is>
          <t>TBS - Retail Price</t>
        </is>
      </c>
      <c r="C50" s="15" t="inlineStr">
        <is>
          <t>LABATT BREWERIES OF CANADA LP</t>
        </is>
      </c>
      <c r="D50" s="15" t="inlineStr">
        <is>
          <t>STELLA ARTOIS</t>
        </is>
      </c>
      <c r="E50" s="14" t="inlineStr">
        <is>
          <t>Cans</t>
        </is>
      </c>
      <c r="F50" s="14" t="n">
        <v>473</v>
      </c>
      <c r="G50" s="15" t="inlineStr">
        <is>
          <t>Cans  473 ml</t>
        </is>
      </c>
      <c r="H50" s="14" t="n">
        <v>12</v>
      </c>
      <c r="I50" s="16" t="n">
        <v>34.49</v>
      </c>
      <c r="J50" s="16" t="n">
        <v>32.49</v>
      </c>
      <c r="K50" s="16" t="n">
        <v>-2</v>
      </c>
      <c r="L50" s="1">
        <f>IF(F50&gt;355,"TC",LEFT(E50,1))</f>
        <v/>
      </c>
      <c r="M50" s="1">
        <f>IF(K50&gt;0,"+","-")</f>
        <v/>
      </c>
      <c r="N50">
        <f>PROPER($D50)&amp;" "&amp;$H50&amp;$L50&amp;" "&amp;$M50&amp;"$"&amp;ABS($K50)&amp;" to $"&amp;$J50</f>
        <v/>
      </c>
      <c r="O50">
        <f>(J50/I50)*100</f>
        <v/>
      </c>
    </row>
    <row r="51" ht="15.5" customHeight="1">
      <c r="A51" s="14" t="n">
        <v>3666031</v>
      </c>
      <c r="B51" s="15" t="inlineStr">
        <is>
          <t>TBS - Retail Price</t>
        </is>
      </c>
      <c r="C51" s="15" t="inlineStr">
        <is>
          <t>MOLSON COORS BEVERAGE COMPANY</t>
        </is>
      </c>
      <c r="D51" s="15" t="inlineStr">
        <is>
          <t>ARIZONA H&amp;H MIXER</t>
        </is>
      </c>
      <c r="E51" s="14" t="inlineStr">
        <is>
          <t>Cans</t>
        </is>
      </c>
      <c r="F51" s="14" t="n">
        <v>355</v>
      </c>
      <c r="G51" s="15" t="inlineStr">
        <is>
          <t>Cans  355 ml</t>
        </is>
      </c>
      <c r="H51" s="14" t="n">
        <v>12</v>
      </c>
      <c r="I51" s="16" t="n">
        <v>26.99</v>
      </c>
      <c r="J51" s="16" t="n">
        <v>24.99</v>
      </c>
      <c r="K51" s="16" t="n">
        <v>-2</v>
      </c>
      <c r="L51" s="1">
        <f>IF(F51&gt;355,"TC",LEFT(E51,1))</f>
        <v/>
      </c>
      <c r="M51" s="1">
        <f>IF(K51&gt;0,"+","-")</f>
        <v/>
      </c>
      <c r="N51">
        <f>PROPER($D51)&amp;" "&amp;$H51&amp;$L51&amp;" "&amp;$M51&amp;"$"&amp;ABS($K51)&amp;" to $"&amp;$J51</f>
        <v/>
      </c>
      <c r="O51">
        <f>(J51/I51)*100</f>
        <v/>
      </c>
    </row>
    <row r="52" ht="15.5" customHeight="1">
      <c r="A52" s="14" t="n">
        <v>3654427</v>
      </c>
      <c r="B52" s="15" t="inlineStr">
        <is>
          <t>TBS - Retail Price</t>
        </is>
      </c>
      <c r="C52" s="15" t="inlineStr">
        <is>
          <t>MOLSON COORS BEVERAGE COMPANY</t>
        </is>
      </c>
      <c r="D52" s="15" t="inlineStr">
        <is>
          <t>COORS SELT SLUSH FLV</t>
        </is>
      </c>
      <c r="E52" s="14" t="inlineStr">
        <is>
          <t>Cans</t>
        </is>
      </c>
      <c r="F52" s="14" t="n">
        <v>355</v>
      </c>
      <c r="G52" s="15" t="inlineStr">
        <is>
          <t>Cans  355 ml</t>
        </is>
      </c>
      <c r="H52" s="14" t="n">
        <v>12</v>
      </c>
      <c r="I52" s="16" t="n">
        <v>25.99</v>
      </c>
      <c r="J52" s="16" t="n">
        <v>23.99</v>
      </c>
      <c r="K52" s="16" t="n">
        <v>-2</v>
      </c>
      <c r="L52" s="1">
        <f>IF(F52&gt;355,"TC",LEFT(E52,1))</f>
        <v/>
      </c>
      <c r="M52" s="1">
        <f>IF(K52&gt;0,"+","-")</f>
        <v/>
      </c>
      <c r="N52">
        <f>PROPER($D52)&amp;" "&amp;$H52&amp;$L52&amp;" "&amp;$M52&amp;"$"&amp;ABS($K52)&amp;" to $"&amp;$J52</f>
        <v/>
      </c>
      <c r="O52">
        <f>(J52/I52)*100</f>
        <v/>
      </c>
    </row>
    <row r="53" ht="15.5" customHeight="1">
      <c r="A53" s="14" t="n">
        <v>1056042</v>
      </c>
      <c r="B53" s="15" t="inlineStr">
        <is>
          <t>TBS - Retail Price</t>
        </is>
      </c>
      <c r="C53" s="15" t="inlineStr">
        <is>
          <t>MOLSON COORS BEVERAGE COMPANY</t>
        </is>
      </c>
      <c r="D53" s="15" t="inlineStr">
        <is>
          <t>MOLSON CANADIAN</t>
        </is>
      </c>
      <c r="E53" s="14" t="inlineStr">
        <is>
          <t>Cans</t>
        </is>
      </c>
      <c r="F53" s="14" t="n">
        <v>473</v>
      </c>
      <c r="G53" s="15" t="inlineStr">
        <is>
          <t>Cans  473 ml</t>
        </is>
      </c>
      <c r="H53" s="14" t="n">
        <v>12</v>
      </c>
      <c r="I53" s="16" t="n">
        <v>27.99</v>
      </c>
      <c r="J53" s="16" t="n">
        <v>25.99</v>
      </c>
      <c r="K53" s="16" t="n">
        <v>-2</v>
      </c>
      <c r="L53" s="1">
        <f>IF(F53&gt;355,"TC",LEFT(E53,1))</f>
        <v/>
      </c>
      <c r="M53" s="1">
        <f>IF(K53&gt;0,"+","-")</f>
        <v/>
      </c>
      <c r="N53">
        <f>PROPER($D53)&amp;" "&amp;$H53&amp;$L53&amp;" "&amp;$M53&amp;"$"&amp;ABS($K53)&amp;" to $"&amp;$J53</f>
        <v/>
      </c>
      <c r="O53">
        <f>(J53/I53)*100</f>
        <v/>
      </c>
    </row>
    <row r="54" ht="15.5" customHeight="1">
      <c r="A54" s="14" t="n">
        <v>3668427</v>
      </c>
      <c r="B54" s="15" t="inlineStr">
        <is>
          <t>TBS - Retail Price</t>
        </is>
      </c>
      <c r="C54" s="15" t="inlineStr">
        <is>
          <t>MOLSON COORS BEVERAGE COMPANY</t>
        </is>
      </c>
      <c r="D54" s="15" t="inlineStr">
        <is>
          <t>VIZZY SELT VP V2</t>
        </is>
      </c>
      <c r="E54" s="14" t="inlineStr">
        <is>
          <t>Cans</t>
        </is>
      </c>
      <c r="F54" s="14" t="n">
        <v>355</v>
      </c>
      <c r="G54" s="15" t="inlineStr">
        <is>
          <t>Cans  355 ml</t>
        </is>
      </c>
      <c r="H54" s="14" t="n">
        <v>12</v>
      </c>
      <c r="I54" s="16" t="n">
        <v>26.99</v>
      </c>
      <c r="J54" s="16" t="n">
        <v>24.99</v>
      </c>
      <c r="K54" s="16" t="n">
        <v>-2</v>
      </c>
      <c r="L54" s="1">
        <f>IF(F54&gt;355,"TC",LEFT(E54,1))</f>
        <v/>
      </c>
      <c r="M54" s="1">
        <f>IF(K54&gt;0,"+","-")</f>
        <v/>
      </c>
      <c r="N54">
        <f>PROPER($D54)&amp;" "&amp;$H54&amp;$L54&amp;" "&amp;$M54&amp;"$"&amp;ABS($K54)&amp;" to $"&amp;$J54</f>
        <v/>
      </c>
      <c r="O54">
        <f>(J54/I54)*100</f>
        <v/>
      </c>
    </row>
    <row r="55" ht="15.5" customHeight="1">
      <c r="A55" s="14" t="n">
        <v>1595031</v>
      </c>
      <c r="B55" s="15" t="inlineStr">
        <is>
          <t>TBS - Retail Price</t>
        </is>
      </c>
      <c r="C55" s="15" t="inlineStr">
        <is>
          <t>MUSKOKA COTTAGE BREWERY INC</t>
        </is>
      </c>
      <c r="D55" s="15" t="inlineStr">
        <is>
          <t>MAD TOM IPA</t>
        </is>
      </c>
      <c r="E55" s="14" t="inlineStr">
        <is>
          <t>Cans</t>
        </is>
      </c>
      <c r="F55" s="14" t="n">
        <v>355</v>
      </c>
      <c r="G55" s="15" t="inlineStr">
        <is>
          <t>Cans  355 ml</t>
        </is>
      </c>
      <c r="H55" s="14" t="n">
        <v>12</v>
      </c>
      <c r="I55" s="16" t="n">
        <v>29.59</v>
      </c>
      <c r="J55" s="16" t="n">
        <v>27.59</v>
      </c>
      <c r="K55" s="16" t="n">
        <v>-2</v>
      </c>
      <c r="L55" s="1">
        <f>IF(F55&gt;355,"TC",LEFT(E55,1))</f>
        <v/>
      </c>
      <c r="M55" s="1">
        <f>IF(K55&gt;0,"+","-")</f>
        <v/>
      </c>
      <c r="N55">
        <f>PROPER($D55)&amp;" "&amp;$H55&amp;$L55&amp;" "&amp;$M55&amp;"$"&amp;ABS($K55)&amp;" to $"&amp;$J55</f>
        <v/>
      </c>
      <c r="O55">
        <f>(J55/I55)*100</f>
        <v/>
      </c>
    </row>
    <row r="56" ht="15.5" customHeight="1">
      <c r="A56" s="14" t="n">
        <v>1594031</v>
      </c>
      <c r="B56" s="15" t="inlineStr">
        <is>
          <t>TBS - Retail Price</t>
        </is>
      </c>
      <c r="C56" s="15" t="inlineStr">
        <is>
          <t>MUSKOKA COTTAGE BREWERY INC</t>
        </is>
      </c>
      <c r="D56" s="15" t="inlineStr">
        <is>
          <t>MUSKOKA CREAM ALE</t>
        </is>
      </c>
      <c r="E56" s="14" t="inlineStr">
        <is>
          <t>Cans</t>
        </is>
      </c>
      <c r="F56" s="14" t="n">
        <v>355</v>
      </c>
      <c r="G56" s="15" t="inlineStr">
        <is>
          <t>Cans  355 ml</t>
        </is>
      </c>
      <c r="H56" s="14" t="n">
        <v>12</v>
      </c>
      <c r="I56" s="16" t="n">
        <v>29.09</v>
      </c>
      <c r="J56" s="16" t="n">
        <v>27.09</v>
      </c>
      <c r="K56" s="16" t="n">
        <v>-2</v>
      </c>
      <c r="L56" s="1">
        <f>IF(F56&gt;355,"TC",LEFT(E56,1))</f>
        <v/>
      </c>
      <c r="M56" s="1">
        <f>IF(K56&gt;0,"+","-")</f>
        <v/>
      </c>
      <c r="N56">
        <f>PROPER($D56)&amp;" "&amp;$H56&amp;$L56&amp;" "&amp;$M56&amp;"$"&amp;ABS($K56)&amp;" to $"&amp;$J56</f>
        <v/>
      </c>
      <c r="O56">
        <f>(J56/I56)*100</f>
        <v/>
      </c>
    </row>
    <row r="57" ht="15.5" customHeight="1">
      <c r="A57" s="14" t="n">
        <v>3962031</v>
      </c>
      <c r="B57" s="15" t="inlineStr">
        <is>
          <t>TBS - Retail Price</t>
        </is>
      </c>
      <c r="C57" s="15" t="inlineStr">
        <is>
          <t>MUSKOKA COTTAGE BREWERY INC</t>
        </is>
      </c>
      <c r="D57" s="15" t="inlineStr">
        <is>
          <t>MUSKOKA VENTURE PACK</t>
        </is>
      </c>
      <c r="E57" s="14" t="inlineStr">
        <is>
          <t>Cans</t>
        </is>
      </c>
      <c r="F57" s="14" t="n">
        <v>355</v>
      </c>
      <c r="G57" s="15" t="inlineStr">
        <is>
          <t>Cans  355 ml</t>
        </is>
      </c>
      <c r="H57" s="14" t="n">
        <v>12</v>
      </c>
      <c r="I57" s="16" t="n">
        <v>27.19</v>
      </c>
      <c r="J57" s="16" t="n">
        <v>25.19</v>
      </c>
      <c r="K57" s="16" t="n">
        <v>-2</v>
      </c>
      <c r="L57" s="1">
        <f>IF(F57&gt;355,"TC",LEFT(E57,1))</f>
        <v/>
      </c>
      <c r="M57" s="1">
        <f>IF(K57&gt;0,"+","-")</f>
        <v/>
      </c>
      <c r="N57">
        <f>PROPER($D57)&amp;" "&amp;$H57&amp;$L57&amp;" "&amp;$M57&amp;"$"&amp;ABS($K57)&amp;" to $"&amp;$J57</f>
        <v/>
      </c>
      <c r="O57">
        <f>(J57/I57)*100</f>
        <v/>
      </c>
    </row>
    <row r="58" ht="15.5" customHeight="1">
      <c r="A58" s="14" t="n">
        <v>1491223</v>
      </c>
      <c r="B58" s="15" t="inlineStr">
        <is>
          <t>TBS - Retail Price</t>
        </is>
      </c>
      <c r="C58" s="15" t="inlineStr">
        <is>
          <t>SLEEMAN BREWERIES LTD</t>
        </is>
      </c>
      <c r="D58" s="15" t="inlineStr">
        <is>
          <t>OLD MILWAUKEE ICE</t>
        </is>
      </c>
      <c r="E58" s="14" t="inlineStr">
        <is>
          <t>Cans</t>
        </is>
      </c>
      <c r="F58" s="14" t="n">
        <v>473</v>
      </c>
      <c r="G58" s="15" t="inlineStr">
        <is>
          <t>Cans  473 ml</t>
        </is>
      </c>
      <c r="H58" s="14" t="n">
        <v>18</v>
      </c>
      <c r="I58" s="16" t="n">
        <v>34.78</v>
      </c>
      <c r="J58" s="16" t="n">
        <v>32.97</v>
      </c>
      <c r="K58" s="16" t="n">
        <v>-1.81</v>
      </c>
      <c r="L58" s="1">
        <f>IF(F58&gt;355,"TC",LEFT(E58,1))</f>
        <v/>
      </c>
      <c r="M58" s="1">
        <f>IF(K58&gt;0,"+","-")</f>
        <v/>
      </c>
      <c r="N58">
        <f>PROPER($D58)&amp;" "&amp;$H58&amp;$L58&amp;" "&amp;$M58&amp;"$"&amp;ABS($K58)&amp;" to $"&amp;$J58</f>
        <v/>
      </c>
      <c r="O58">
        <f>(J58/I58)*100</f>
        <v/>
      </c>
    </row>
    <row r="59" ht="15.5" customHeight="1">
      <c r="A59" s="14" t="n">
        <v>1491042</v>
      </c>
      <c r="B59" s="15" t="inlineStr">
        <is>
          <t>TBS - Retail Price</t>
        </is>
      </c>
      <c r="C59" s="15" t="inlineStr">
        <is>
          <t>SLEEMAN BREWERIES LTD</t>
        </is>
      </c>
      <c r="D59" s="15" t="inlineStr">
        <is>
          <t>OLD MILWAUKEE ICE</t>
        </is>
      </c>
      <c r="E59" s="14" t="inlineStr">
        <is>
          <t>Cans</t>
        </is>
      </c>
      <c r="F59" s="14" t="n">
        <v>473</v>
      </c>
      <c r="G59" s="15" t="inlineStr">
        <is>
          <t>Cans  473 ml</t>
        </is>
      </c>
      <c r="H59" s="14" t="n">
        <v>12</v>
      </c>
      <c r="I59" s="16" t="n">
        <v>23.49</v>
      </c>
      <c r="J59" s="16" t="n">
        <v>21.98</v>
      </c>
      <c r="K59" s="16" t="n">
        <v>-1.51</v>
      </c>
      <c r="L59" s="1">
        <f>IF(F59&gt;355,"TC",LEFT(E59,1))</f>
        <v/>
      </c>
      <c r="M59" s="1">
        <f>IF(K59&gt;0,"+","-")</f>
        <v/>
      </c>
      <c r="N59">
        <f>PROPER($D59)&amp;" "&amp;$H59&amp;$L59&amp;" "&amp;$M59&amp;"$"&amp;ABS($K59)&amp;" to $"&amp;$J59</f>
        <v/>
      </c>
      <c r="O59">
        <f>(J59/I59)*100</f>
        <v/>
      </c>
    </row>
    <row r="60" ht="15.5" customHeight="1">
      <c r="A60" s="14" t="n">
        <v>3410031</v>
      </c>
      <c r="B60" s="15" t="inlineStr">
        <is>
          <t>TBS - Retail Price</t>
        </is>
      </c>
      <c r="C60" s="15" t="inlineStr">
        <is>
          <t>COLLECTIVE ARTS BREWING LIMITED</t>
        </is>
      </c>
      <c r="D60" s="15" t="inlineStr">
        <is>
          <t>COLLECTIVE LAGER</t>
        </is>
      </c>
      <c r="E60" s="14" t="inlineStr">
        <is>
          <t>Cans</t>
        </is>
      </c>
      <c r="F60" s="14" t="n">
        <v>355</v>
      </c>
      <c r="G60" s="15" t="inlineStr">
        <is>
          <t>Cans  355 ml</t>
        </is>
      </c>
      <c r="H60" s="14" t="n">
        <v>12</v>
      </c>
      <c r="I60" s="16" t="n">
        <v>24.99</v>
      </c>
      <c r="J60" s="16" t="n">
        <v>23.49</v>
      </c>
      <c r="K60" s="16" t="n">
        <v>-1.5</v>
      </c>
      <c r="L60" s="1">
        <f>IF(F60&gt;355,"TC",LEFT(E60,1))</f>
        <v/>
      </c>
      <c r="M60" s="1">
        <f>IF(K60&gt;0,"+","-")</f>
        <v/>
      </c>
      <c r="N60">
        <f>PROPER($D60)&amp;" "&amp;$H60&amp;$L60&amp;" "&amp;$M60&amp;"$"&amp;ABS($K60)&amp;" to $"&amp;$J60</f>
        <v/>
      </c>
      <c r="O60">
        <f>(J60/I60)*100</f>
        <v/>
      </c>
    </row>
    <row r="61" ht="15.5" customHeight="1">
      <c r="A61" s="14" t="n">
        <v>2042291</v>
      </c>
      <c r="B61" s="15" t="inlineStr">
        <is>
          <t>TBS - Retail Price</t>
        </is>
      </c>
      <c r="C61" s="15" t="inlineStr">
        <is>
          <t>SLEEMAN BREWERIES LTD</t>
        </is>
      </c>
      <c r="D61" s="15" t="inlineStr">
        <is>
          <t>COLT 45</t>
        </is>
      </c>
      <c r="E61" s="14" t="inlineStr">
        <is>
          <t>Cans</t>
        </is>
      </c>
      <c r="F61" s="14" t="n">
        <v>710</v>
      </c>
      <c r="G61" s="15" t="inlineStr">
        <is>
          <t>Cans  710 ml</t>
        </is>
      </c>
      <c r="H61" s="14" t="n">
        <v>4</v>
      </c>
      <c r="I61" s="16" t="n">
        <v>14.34</v>
      </c>
      <c r="J61" s="16" t="n">
        <v>12.99</v>
      </c>
      <c r="K61" s="16" t="n">
        <v>-1.35</v>
      </c>
      <c r="L61" s="1">
        <f>IF(F61&gt;355,"TC",LEFT(E61,1))</f>
        <v/>
      </c>
      <c r="M61" s="1">
        <f>IF(K61&gt;0,"+","-")</f>
        <v/>
      </c>
      <c r="N61">
        <f>PROPER($D61)&amp;" "&amp;$H61&amp;$L61&amp;" "&amp;$M61&amp;"$"&amp;ABS($K61)&amp;" to $"&amp;$J61</f>
        <v/>
      </c>
      <c r="O61">
        <f>(J61/I61)*100</f>
        <v/>
      </c>
    </row>
    <row r="62" ht="15.5" customHeight="1">
      <c r="A62" s="14" t="n">
        <v>1056041</v>
      </c>
      <c r="B62" s="15" t="inlineStr">
        <is>
          <t>TBS - Retail Price</t>
        </is>
      </c>
      <c r="C62" s="15" t="inlineStr">
        <is>
          <t>MOLSON COORS BEVERAGE COMPANY</t>
        </is>
      </c>
      <c r="D62" s="15" t="inlineStr">
        <is>
          <t>MOLSON CANADIAN</t>
        </is>
      </c>
      <c r="E62" s="14" t="inlineStr">
        <is>
          <t>Cans</t>
        </is>
      </c>
      <c r="F62" s="14" t="n">
        <v>473</v>
      </c>
      <c r="G62" s="15" t="inlineStr">
        <is>
          <t>Cans  473 ml</t>
        </is>
      </c>
      <c r="H62" s="14" t="n">
        <v>24</v>
      </c>
      <c r="I62" s="16" t="n">
        <v>52.99</v>
      </c>
      <c r="J62" s="16" t="n">
        <v>51.89</v>
      </c>
      <c r="K62" s="16" t="n">
        <v>-1.1</v>
      </c>
      <c r="L62" s="1">
        <f>IF(F62&gt;355,"TC",LEFT(E62,1))</f>
        <v/>
      </c>
      <c r="M62" s="1">
        <f>IF(K62&gt;0,"+","-")</f>
        <v/>
      </c>
      <c r="N62">
        <f>PROPER($D62)&amp;" "&amp;$H62&amp;$L62&amp;" "&amp;$M62&amp;"$"&amp;ABS($K62)&amp;" to $"&amp;$J62</f>
        <v/>
      </c>
      <c r="O62">
        <f>(J62/I62)*100</f>
        <v/>
      </c>
    </row>
    <row r="63" ht="15.5" customHeight="1">
      <c r="A63" s="14" t="n">
        <v>1491041</v>
      </c>
      <c r="B63" s="15" t="inlineStr">
        <is>
          <t>TBS - Retail Price</t>
        </is>
      </c>
      <c r="C63" s="15" t="inlineStr">
        <is>
          <t>SLEEMAN BREWERIES LTD</t>
        </is>
      </c>
      <c r="D63" s="15" t="inlineStr">
        <is>
          <t>OLD MILWAUKEE ICE</t>
        </is>
      </c>
      <c r="E63" s="14" t="inlineStr">
        <is>
          <t>Cans</t>
        </is>
      </c>
      <c r="F63" s="14" t="n">
        <v>473</v>
      </c>
      <c r="G63" s="15" t="inlineStr">
        <is>
          <t>Cans  473 ml</t>
        </is>
      </c>
      <c r="H63" s="14" t="n">
        <v>24</v>
      </c>
      <c r="I63" s="16" t="n">
        <v>44.99</v>
      </c>
      <c r="J63" s="16" t="n">
        <v>43.96</v>
      </c>
      <c r="K63" s="16" t="n">
        <v>-1.03</v>
      </c>
      <c r="L63" s="1">
        <f>IF(F63&gt;355,"TC",LEFT(E63,1))</f>
        <v/>
      </c>
      <c r="M63" s="1">
        <f>IF(K63&gt;0,"+","-")</f>
        <v/>
      </c>
      <c r="N63">
        <f>PROPER($D63)&amp;" "&amp;$H63&amp;$L63&amp;" "&amp;$M63&amp;"$"&amp;ABS($K63)&amp;" to $"&amp;$J63</f>
        <v/>
      </c>
      <c r="O63">
        <f>(J63/I63)*100</f>
        <v/>
      </c>
    </row>
    <row r="64" ht="15.5" customHeight="1">
      <c r="A64" s="14" t="n">
        <v>1525038</v>
      </c>
      <c r="B64" s="15" t="inlineStr">
        <is>
          <t>TBS - Retail Price</t>
        </is>
      </c>
      <c r="C64" s="15" t="inlineStr">
        <is>
          <t>COLLECTIVE ARTS BREWING LIMITED</t>
        </is>
      </c>
      <c r="D64" s="15" t="inlineStr">
        <is>
          <t>COLLECTIVE RANSACK</t>
        </is>
      </c>
      <c r="E64" s="14" t="inlineStr">
        <is>
          <t>Cans</t>
        </is>
      </c>
      <c r="F64" s="14" t="n">
        <v>473</v>
      </c>
      <c r="G64" s="15" t="inlineStr">
        <is>
          <t>Cans  473 ml</t>
        </is>
      </c>
      <c r="H64" s="14" t="n">
        <v>6</v>
      </c>
      <c r="I64" s="16" t="n">
        <v>19.99</v>
      </c>
      <c r="J64" s="16" t="n">
        <v>18.99</v>
      </c>
      <c r="K64" s="16" t="n">
        <v>-1</v>
      </c>
      <c r="L64" s="1">
        <f>IF(F64&gt;355,"TC",LEFT(E64,1))</f>
        <v/>
      </c>
      <c r="M64" s="1">
        <f>IF(K64&gt;0,"+","-")</f>
        <v/>
      </c>
      <c r="N64">
        <f>PROPER($D64)&amp;" "&amp;$H64&amp;$L64&amp;" "&amp;$M64&amp;"$"&amp;ABS($K64)&amp;" to $"&amp;$J64</f>
        <v/>
      </c>
      <c r="O64">
        <f>(J64/I64)*100</f>
        <v/>
      </c>
    </row>
    <row r="65" ht="15.5" customHeight="1">
      <c r="A65" s="14" t="n">
        <v>3879038</v>
      </c>
      <c r="B65" s="15" t="inlineStr">
        <is>
          <t>TBS - Retail Price</t>
        </is>
      </c>
      <c r="C65" s="15" t="inlineStr">
        <is>
          <t>FARMERS CREED CORP</t>
        </is>
      </c>
      <c r="D65" s="15" t="inlineStr">
        <is>
          <t>GONE FISHIN LIGHT</t>
        </is>
      </c>
      <c r="E65" s="14" t="inlineStr">
        <is>
          <t>Cans</t>
        </is>
      </c>
      <c r="F65" s="14" t="n">
        <v>473</v>
      </c>
      <c r="G65" s="15" t="inlineStr">
        <is>
          <t>Cans  473 ml</t>
        </is>
      </c>
      <c r="H65" s="14" t="n">
        <v>6</v>
      </c>
      <c r="I65" s="16" t="n">
        <v>15.99</v>
      </c>
      <c r="J65" s="16" t="n">
        <v>14.99</v>
      </c>
      <c r="K65" s="16" t="n">
        <v>-1</v>
      </c>
      <c r="L65" s="1">
        <f>IF(F65&gt;355,"TC",LEFT(E65,1))</f>
        <v/>
      </c>
      <c r="M65" s="1">
        <f>IF(K65&gt;0,"+","-")</f>
        <v/>
      </c>
      <c r="N65">
        <f>PROPER($D65)&amp;" "&amp;$H65&amp;$L65&amp;" "&amp;$M65&amp;"$"&amp;ABS($K65)&amp;" to $"&amp;$J65</f>
        <v/>
      </c>
      <c r="O65">
        <f>(J65/I65)*100</f>
        <v/>
      </c>
    </row>
    <row r="66" ht="15.5" customHeight="1">
      <c r="A66" s="14" t="n">
        <v>3154038</v>
      </c>
      <c r="B66" s="15" t="inlineStr">
        <is>
          <t>TBS - Retail Price</t>
        </is>
      </c>
      <c r="C66" s="15" t="inlineStr">
        <is>
          <t>FARMERS CREED CORP</t>
        </is>
      </c>
      <c r="D66" s="15" t="inlineStr">
        <is>
          <t>LONGHORN LAGER</t>
        </is>
      </c>
      <c r="E66" s="14" t="inlineStr">
        <is>
          <t>Cans</t>
        </is>
      </c>
      <c r="F66" s="14" t="n">
        <v>473</v>
      </c>
      <c r="G66" s="15" t="inlineStr">
        <is>
          <t>Cans  473 ml</t>
        </is>
      </c>
      <c r="H66" s="14" t="n">
        <v>6</v>
      </c>
      <c r="I66" s="16" t="n">
        <v>16.99</v>
      </c>
      <c r="J66" s="16" t="n">
        <v>15.99</v>
      </c>
      <c r="K66" s="16" t="n">
        <v>-1</v>
      </c>
      <c r="L66" s="1">
        <f>IF(F66&gt;355,"TC",LEFT(E66,1))</f>
        <v/>
      </c>
      <c r="M66" s="1">
        <f>IF(K66&gt;0,"+","-")</f>
        <v/>
      </c>
      <c r="N66">
        <f>PROPER($D66)&amp;" "&amp;$H66&amp;$L66&amp;" "&amp;$M66&amp;"$"&amp;ABS($K66)&amp;" to $"&amp;$J66</f>
        <v/>
      </c>
      <c r="O66">
        <f>(J66/I66)*100</f>
        <v/>
      </c>
    </row>
    <row r="67" ht="15.5" customHeight="1">
      <c r="A67" s="14" t="n">
        <v>3715038</v>
      </c>
      <c r="B67" s="15" t="inlineStr">
        <is>
          <t>TBS - Retail Price</t>
        </is>
      </c>
      <c r="C67" s="15" t="inlineStr">
        <is>
          <t>FARMERS CREED CORP</t>
        </is>
      </c>
      <c r="D67" s="15" t="inlineStr">
        <is>
          <t>ROUGH STOCK IPA</t>
        </is>
      </c>
      <c r="E67" s="14" t="inlineStr">
        <is>
          <t>Cans</t>
        </is>
      </c>
      <c r="F67" s="14" t="n">
        <v>473</v>
      </c>
      <c r="G67" s="15" t="inlineStr">
        <is>
          <t>Cans  473 ml</t>
        </is>
      </c>
      <c r="H67" s="14" t="n">
        <v>6</v>
      </c>
      <c r="I67" s="16" t="n">
        <v>17.99</v>
      </c>
      <c r="J67" s="16" t="n">
        <v>16.99</v>
      </c>
      <c r="K67" s="16" t="n">
        <v>-1</v>
      </c>
      <c r="L67" s="1">
        <f>IF(F67&gt;355,"TC",LEFT(E67,1))</f>
        <v/>
      </c>
      <c r="M67" s="1">
        <f>IF(K67&gt;0,"+","-")</f>
        <v/>
      </c>
      <c r="N67">
        <f>PROPER($D67)&amp;" "&amp;$H67&amp;$L67&amp;" "&amp;$M67&amp;"$"&amp;ABS($K67)&amp;" to $"&amp;$J67</f>
        <v/>
      </c>
      <c r="O67">
        <f>(J67/I67)*100</f>
        <v/>
      </c>
    </row>
    <row r="68" ht="15.5" customHeight="1">
      <c r="A68" s="14" t="n">
        <v>3775038</v>
      </c>
      <c r="B68" s="15" t="inlineStr">
        <is>
          <t>TBS - Retail Price</t>
        </is>
      </c>
      <c r="C68" s="15" t="inlineStr">
        <is>
          <t>MOLSON COORS BEVERAGE COMPANY</t>
        </is>
      </c>
      <c r="D68" s="15" t="inlineStr">
        <is>
          <t>CREEMORE LIGHT LAGER</t>
        </is>
      </c>
      <c r="E68" s="14" t="inlineStr">
        <is>
          <t>Cans</t>
        </is>
      </c>
      <c r="F68" s="14" t="n">
        <v>473</v>
      </c>
      <c r="G68" s="15" t="inlineStr">
        <is>
          <t>Cans  473 ml</t>
        </is>
      </c>
      <c r="H68" s="14" t="n">
        <v>6</v>
      </c>
      <c r="I68" s="16" t="n">
        <v>17.69</v>
      </c>
      <c r="J68" s="16" t="n">
        <v>16.69</v>
      </c>
      <c r="K68" s="16" t="n">
        <v>-1</v>
      </c>
      <c r="L68" s="1">
        <f>IF(F68&gt;355,"TC",LEFT(E68,1))</f>
        <v/>
      </c>
      <c r="M68" s="1">
        <f>IF(K68&gt;0,"+","-")</f>
        <v/>
      </c>
      <c r="N68">
        <f>PROPER($D68)&amp;" "&amp;$H68&amp;$L68&amp;" "&amp;$M68&amp;"$"&amp;ABS($K68)&amp;" to $"&amp;$J68</f>
        <v/>
      </c>
      <c r="O68">
        <f>(J68/I68)*100</f>
        <v/>
      </c>
    </row>
    <row r="69" ht="15.5" customHeight="1">
      <c r="A69" s="14" t="n">
        <v>1628031</v>
      </c>
      <c r="B69" s="15" t="inlineStr">
        <is>
          <t>TBS - Retail Price</t>
        </is>
      </c>
      <c r="C69" s="15" t="inlineStr">
        <is>
          <t>MOOSEHEAD BREWERIES LIMITED</t>
        </is>
      </c>
      <c r="D69" s="15" t="inlineStr">
        <is>
          <t>MOOSEHEAD LAGER</t>
        </is>
      </c>
      <c r="E69" s="14" t="inlineStr">
        <is>
          <t>Cans</t>
        </is>
      </c>
      <c r="F69" s="14" t="n">
        <v>355</v>
      </c>
      <c r="G69" s="15" t="inlineStr">
        <is>
          <t>Cans  355 ml</t>
        </is>
      </c>
      <c r="H69" s="14" t="n">
        <v>12</v>
      </c>
      <c r="I69" s="16" t="n">
        <v>23.89</v>
      </c>
      <c r="J69" s="16" t="n">
        <v>22.89</v>
      </c>
      <c r="K69" s="16" t="n">
        <v>-1</v>
      </c>
      <c r="L69" s="1">
        <f>IF(F69&gt;355,"TC",LEFT(E69,1))</f>
        <v/>
      </c>
      <c r="M69" s="1">
        <f>IF(K69&gt;0,"+","-")</f>
        <v/>
      </c>
      <c r="N69">
        <f>PROPER($D69)&amp;" "&amp;$H69&amp;$L69&amp;" "&amp;$M69&amp;"$"&amp;ABS($K69)&amp;" to $"&amp;$J69</f>
        <v/>
      </c>
      <c r="O69">
        <f>(J69/I69)*100</f>
        <v/>
      </c>
    </row>
    <row r="70" ht="15.5" customHeight="1">
      <c r="A70" s="14" t="n">
        <v>1491038</v>
      </c>
      <c r="B70" s="15" t="inlineStr">
        <is>
          <t>TBS - Retail Price</t>
        </is>
      </c>
      <c r="C70" s="15" t="inlineStr">
        <is>
          <t>SLEEMAN BREWERIES LTD</t>
        </is>
      </c>
      <c r="D70" s="15" t="inlineStr">
        <is>
          <t>OLD MILWAUKEE ICE</t>
        </is>
      </c>
      <c r="E70" s="14" t="inlineStr">
        <is>
          <t>Cans</t>
        </is>
      </c>
      <c r="F70" s="14" t="n">
        <v>473</v>
      </c>
      <c r="G70" s="15" t="inlineStr">
        <is>
          <t>Cans  473 ml</t>
        </is>
      </c>
      <c r="H70" s="14" t="n">
        <v>6</v>
      </c>
      <c r="I70" s="16" t="n">
        <v>11.99</v>
      </c>
      <c r="J70" s="16" t="n">
        <v>10.99</v>
      </c>
      <c r="K70" s="16" t="n">
        <v>-1</v>
      </c>
      <c r="L70" s="1">
        <f>IF(F70&gt;355,"TC",LEFT(E70,1))</f>
        <v/>
      </c>
      <c r="M70" s="1">
        <f>IF(K70&gt;0,"+","-")</f>
        <v/>
      </c>
      <c r="N70">
        <f>PROPER($D70)&amp;" "&amp;$H70&amp;$L70&amp;" "&amp;$M70&amp;"$"&amp;ABS($K70)&amp;" to $"&amp;$J70</f>
        <v/>
      </c>
      <c r="O70">
        <f>(J70/I70)*100</f>
        <v/>
      </c>
    </row>
    <row r="71" ht="15.5" customHeight="1">
      <c r="A71" s="14" t="n">
        <v>1448038</v>
      </c>
      <c r="B71" s="15" t="inlineStr">
        <is>
          <t>TBS - Retail Price</t>
        </is>
      </c>
      <c r="C71" s="15" t="inlineStr">
        <is>
          <t>WELLINGTON COUNTY BREWERY INC</t>
        </is>
      </c>
      <c r="D71" s="15" t="inlineStr">
        <is>
          <t>HELLES LAGER</t>
        </is>
      </c>
      <c r="E71" s="14" t="inlineStr">
        <is>
          <t>Cans</t>
        </is>
      </c>
      <c r="F71" s="14" t="n">
        <v>473</v>
      </c>
      <c r="G71" s="15" t="inlineStr">
        <is>
          <t>Cans  473 ml</t>
        </is>
      </c>
      <c r="H71" s="14" t="n">
        <v>6</v>
      </c>
      <c r="I71" s="16" t="n">
        <v>17.49</v>
      </c>
      <c r="J71" s="16" t="n">
        <v>16.49</v>
      </c>
      <c r="K71" s="16" t="n">
        <v>-1</v>
      </c>
      <c r="L71" s="1">
        <f>IF(F71&gt;355,"TC",LEFT(E71,1))</f>
        <v/>
      </c>
      <c r="M71" s="1">
        <f>IF(K71&gt;0,"+","-")</f>
        <v/>
      </c>
      <c r="N71">
        <f>PROPER($D71)&amp;" "&amp;$H71&amp;$L71&amp;" "&amp;$M71&amp;"$"&amp;ABS($K71)&amp;" to $"&amp;$J71</f>
        <v/>
      </c>
      <c r="O71">
        <f>(J71/I71)*100</f>
        <v/>
      </c>
    </row>
    <row r="72" ht="15.5" customHeight="1">
      <c r="A72" s="14" t="n">
        <v>2042290</v>
      </c>
      <c r="B72" s="15" t="inlineStr">
        <is>
          <t>TBS - Retail Price</t>
        </is>
      </c>
      <c r="C72" s="15" t="inlineStr">
        <is>
          <t>SLEEMAN BREWERIES LTD</t>
        </is>
      </c>
      <c r="D72" s="15" t="inlineStr">
        <is>
          <t>COLT 45</t>
        </is>
      </c>
      <c r="E72" s="14" t="inlineStr">
        <is>
          <t>Cans</t>
        </is>
      </c>
      <c r="F72" s="14" t="n">
        <v>710</v>
      </c>
      <c r="G72" s="15" t="inlineStr">
        <is>
          <t>Cans  710 ml</t>
        </is>
      </c>
      <c r="H72" s="14" t="n">
        <v>2</v>
      </c>
      <c r="I72" s="16" t="n">
        <v>7.35</v>
      </c>
      <c r="J72" s="16" t="n">
        <v>6.5</v>
      </c>
      <c r="K72" s="16" t="n">
        <v>-0.85</v>
      </c>
      <c r="L72" s="1">
        <f>IF(F72&gt;355,"TC",LEFT(E72,1))</f>
        <v/>
      </c>
      <c r="M72" s="1">
        <f>IF(K72&gt;0,"+","-")</f>
        <v/>
      </c>
      <c r="N72">
        <f>PROPER($D72)&amp;" "&amp;$H72&amp;$L72&amp;" "&amp;$M72&amp;"$"&amp;ABS($K72)&amp;" to $"&amp;$J72</f>
        <v/>
      </c>
      <c r="O72">
        <f>(J72/I72)*100</f>
        <v/>
      </c>
    </row>
    <row r="73" ht="15.5" customHeight="1">
      <c r="A73" s="14" t="n">
        <v>3537296</v>
      </c>
      <c r="B73" s="15" t="inlineStr">
        <is>
          <t>TBS - Retail Price</t>
        </is>
      </c>
      <c r="C73" s="15" t="inlineStr">
        <is>
          <t>COLLECTIVE ARTS BREWING LIMITED</t>
        </is>
      </c>
      <c r="D73" s="15" t="inlineStr">
        <is>
          <t>NA HAZY PALE ALE</t>
        </is>
      </c>
      <c r="E73" s="14" t="inlineStr">
        <is>
          <t>Cans</t>
        </is>
      </c>
      <c r="F73" s="14" t="n">
        <v>355</v>
      </c>
      <c r="G73" s="15" t="inlineStr">
        <is>
          <t>Cans  355 ml</t>
        </is>
      </c>
      <c r="H73" s="14" t="n">
        <v>4</v>
      </c>
      <c r="I73" s="16" t="n">
        <v>8.449999999999999</v>
      </c>
      <c r="J73" s="16" t="n">
        <v>7.7</v>
      </c>
      <c r="K73" s="16" t="n">
        <v>-0.75</v>
      </c>
      <c r="L73" s="1">
        <f>IF(F73&gt;355,"TC",LEFT(E73,1))</f>
        <v/>
      </c>
      <c r="M73" s="1">
        <f>IF(K73&gt;0,"+","-")</f>
        <v/>
      </c>
      <c r="N73">
        <f>PROPER($D73)&amp;" "&amp;$H73&amp;$L73&amp;" "&amp;$M73&amp;"$"&amp;ABS($K73)&amp;" to $"&amp;$J73</f>
        <v/>
      </c>
      <c r="O73">
        <f>(J73/I73)*100</f>
        <v/>
      </c>
    </row>
    <row r="74" ht="15.5" customHeight="1">
      <c r="A74" s="14" t="n">
        <v>2042024</v>
      </c>
      <c r="B74" s="15" t="inlineStr">
        <is>
          <t>TBS - Retail Price</t>
        </is>
      </c>
      <c r="C74" s="15" t="inlineStr">
        <is>
          <t>SLEEMAN BREWERIES LTD</t>
        </is>
      </c>
      <c r="D74" s="15" t="inlineStr">
        <is>
          <t>COLT 45</t>
        </is>
      </c>
      <c r="E74" s="14" t="inlineStr">
        <is>
          <t>Can</t>
        </is>
      </c>
      <c r="F74" s="14" t="n">
        <v>710</v>
      </c>
      <c r="G74" s="15" t="inlineStr">
        <is>
          <t>Can  710 ml</t>
        </is>
      </c>
      <c r="H74" s="14" t="n">
        <v>1</v>
      </c>
      <c r="I74" s="16" t="n">
        <v>3.76</v>
      </c>
      <c r="J74" s="16" t="n">
        <v>3.25</v>
      </c>
      <c r="K74" s="16" t="n">
        <v>-0.51</v>
      </c>
      <c r="L74" s="1">
        <f>IF(F74&gt;355,"TC",LEFT(E74,1))</f>
        <v/>
      </c>
      <c r="M74" s="1">
        <f>IF(K74&gt;0,"+","-")</f>
        <v/>
      </c>
      <c r="N74">
        <f>PROPER($D74)&amp;" "&amp;$H74&amp;$L74&amp;" "&amp;$M74&amp;"$"&amp;ABS($K74)&amp;" to $"&amp;$J74</f>
        <v/>
      </c>
      <c r="O74">
        <f>(J74/I74)*100</f>
        <v/>
      </c>
    </row>
    <row r="75" ht="15.5" customHeight="1">
      <c r="A75" s="14" t="n">
        <v>2084100</v>
      </c>
      <c r="B75" s="15" t="inlineStr">
        <is>
          <t>TBS - Retail Price</t>
        </is>
      </c>
      <c r="C75" s="15" t="inlineStr">
        <is>
          <t>LABATT BREWERIES OF CANADA LP</t>
        </is>
      </c>
      <c r="D75" s="15" t="inlineStr">
        <is>
          <t>BUD LIGHT</t>
        </is>
      </c>
      <c r="E75" s="14" t="inlineStr">
        <is>
          <t>Bottles</t>
        </is>
      </c>
      <c r="F75" s="14" t="n">
        <v>341</v>
      </c>
      <c r="G75" s="15" t="inlineStr">
        <is>
          <t>Bottles  341 ml</t>
        </is>
      </c>
      <c r="H75" s="14" t="n">
        <v>28</v>
      </c>
      <c r="I75" s="16" t="n">
        <v>43.99</v>
      </c>
      <c r="J75" s="16" t="n">
        <v>43.49</v>
      </c>
      <c r="K75" s="16" t="n">
        <v>-0.5</v>
      </c>
      <c r="L75" s="1">
        <f>IF(F75&gt;355,"TC",LEFT(E75,1))</f>
        <v/>
      </c>
      <c r="M75" s="1">
        <f>IF(K75&gt;0,"+","-")</f>
        <v/>
      </c>
      <c r="N75">
        <f>PROPER($D75)&amp;" "&amp;$H75&amp;$L75&amp;" "&amp;$M75&amp;"$"&amp;ABS($K75)&amp;" to $"&amp;$J75</f>
        <v/>
      </c>
      <c r="O75">
        <f>(J75/I75)*100</f>
        <v/>
      </c>
    </row>
    <row r="76" ht="15.5" customHeight="1">
      <c r="A76" s="14" t="n">
        <v>2085100</v>
      </c>
      <c r="B76" s="15" t="inlineStr">
        <is>
          <t>TBS - Retail Price</t>
        </is>
      </c>
      <c r="C76" s="15" t="inlineStr">
        <is>
          <t>LABATT BREWERIES OF CANADA LP</t>
        </is>
      </c>
      <c r="D76" s="15" t="inlineStr">
        <is>
          <t>BUDWEISER</t>
        </is>
      </c>
      <c r="E76" s="14" t="inlineStr">
        <is>
          <t>Bottles</t>
        </is>
      </c>
      <c r="F76" s="14" t="n">
        <v>341</v>
      </c>
      <c r="G76" s="15" t="inlineStr">
        <is>
          <t>Bottles  341 ml</t>
        </is>
      </c>
      <c r="H76" s="14" t="n">
        <v>28</v>
      </c>
      <c r="I76" s="16" t="n">
        <v>43.99</v>
      </c>
      <c r="J76" s="16" t="n">
        <v>43.49</v>
      </c>
      <c r="K76" s="16" t="n">
        <v>-0.5</v>
      </c>
      <c r="L76" s="1">
        <f>IF(F76&gt;355,"TC",LEFT(E76,1))</f>
        <v/>
      </c>
      <c r="M76" s="1">
        <f>IF(K76&gt;0,"+","-")</f>
        <v/>
      </c>
      <c r="N76">
        <f>PROPER($D76)&amp;" "&amp;$H76&amp;$L76&amp;" "&amp;$M76&amp;"$"&amp;ABS($K76)&amp;" to $"&amp;$J76</f>
        <v/>
      </c>
      <c r="O76">
        <f>(J76/I76)*100</f>
        <v/>
      </c>
    </row>
    <row r="77" ht="15.5" customHeight="1">
      <c r="A77" s="14" t="n">
        <v>2597355</v>
      </c>
      <c r="B77" s="15" t="inlineStr">
        <is>
          <t>TBS - Retail Price</t>
        </is>
      </c>
      <c r="C77" s="15" t="inlineStr">
        <is>
          <t>LABATT BREWERIES OF CANADA LP</t>
        </is>
      </c>
      <c r="D77" s="15" t="inlineStr">
        <is>
          <t>CORONA</t>
        </is>
      </c>
      <c r="E77" s="14" t="inlineStr">
        <is>
          <t>Bottles</t>
        </is>
      </c>
      <c r="F77" s="14" t="n">
        <v>330</v>
      </c>
      <c r="G77" s="15" t="inlineStr">
        <is>
          <t>Bottles  330 ml</t>
        </is>
      </c>
      <c r="H77" s="14" t="n">
        <v>24</v>
      </c>
      <c r="I77" s="16" t="n">
        <v>50.49</v>
      </c>
      <c r="J77" s="16" t="n">
        <v>49.99</v>
      </c>
      <c r="K77" s="16" t="n">
        <v>-0.5</v>
      </c>
      <c r="L77" s="1">
        <f>IF(F77&gt;355,"TC",LEFT(E77,1))</f>
        <v/>
      </c>
      <c r="M77" s="1">
        <f>IF(K77&gt;0,"+","-")</f>
        <v/>
      </c>
      <c r="N77">
        <f>PROPER($D77)&amp;" "&amp;$H77&amp;$L77&amp;" "&amp;$M77&amp;"$"&amp;ABS($K77)&amp;" to $"&amp;$J77</f>
        <v/>
      </c>
      <c r="O77">
        <f>(J77/I77)*100</f>
        <v/>
      </c>
    </row>
    <row r="78" ht="15.5" customHeight="1">
      <c r="A78" s="14" t="n">
        <v>1629042</v>
      </c>
      <c r="B78" s="15" t="inlineStr">
        <is>
          <t>TBS - Retail Price</t>
        </is>
      </c>
      <c r="C78" s="15" t="inlineStr">
        <is>
          <t>MOOSEHEAD BREWERIES LIMITED</t>
        </is>
      </c>
      <c r="D78" s="15" t="inlineStr">
        <is>
          <t>CRACKED CANOE</t>
        </is>
      </c>
      <c r="E78" s="14" t="inlineStr">
        <is>
          <t>Cans</t>
        </is>
      </c>
      <c r="F78" s="14" t="n">
        <v>473</v>
      </c>
      <c r="G78" s="15" t="inlineStr">
        <is>
          <t>Cans  473 ml</t>
        </is>
      </c>
      <c r="H78" s="14" t="n">
        <v>12</v>
      </c>
      <c r="I78" s="16" t="n">
        <v>28.49</v>
      </c>
      <c r="J78" s="16" t="n">
        <v>27.99</v>
      </c>
      <c r="K78" s="16" t="n">
        <v>-0.5</v>
      </c>
      <c r="L78" s="1">
        <f>IF(F78&gt;355,"TC",LEFT(E78,1))</f>
        <v/>
      </c>
      <c r="M78" s="1">
        <f>IF(K78&gt;0,"+","-")</f>
        <v/>
      </c>
      <c r="N78">
        <f>PROPER($D78)&amp;" "&amp;$H78&amp;$L78&amp;" "&amp;$M78&amp;"$"&amp;ABS($K78)&amp;" to $"&amp;$J78</f>
        <v/>
      </c>
      <c r="O78">
        <f>(J78/I78)*100</f>
        <v/>
      </c>
    </row>
    <row r="79" ht="15.5" customHeight="1">
      <c r="A79" s="14" t="n">
        <v>1628042</v>
      </c>
      <c r="B79" s="15" t="inlineStr">
        <is>
          <t>TBS - Retail Price</t>
        </is>
      </c>
      <c r="C79" s="15" t="inlineStr">
        <is>
          <t>MOOSEHEAD BREWERIES LIMITED</t>
        </is>
      </c>
      <c r="D79" s="15" t="inlineStr">
        <is>
          <t>MOOSEHEAD LAGER</t>
        </is>
      </c>
      <c r="E79" s="14" t="inlineStr">
        <is>
          <t>Cans</t>
        </is>
      </c>
      <c r="F79" s="14" t="n">
        <v>473</v>
      </c>
      <c r="G79" s="15" t="inlineStr">
        <is>
          <t>Cans  473 ml</t>
        </is>
      </c>
      <c r="H79" s="14" t="n">
        <v>12</v>
      </c>
      <c r="I79" s="16" t="n">
        <v>28.49</v>
      </c>
      <c r="J79" s="16" t="n">
        <v>27.99</v>
      </c>
      <c r="K79" s="16" t="n">
        <v>-0.5</v>
      </c>
      <c r="L79" s="1">
        <f>IF(F79&gt;355,"TC",LEFT(E79,1))</f>
        <v/>
      </c>
      <c r="M79" s="1">
        <f>IF(K79&gt;0,"+","-")</f>
        <v/>
      </c>
      <c r="N79">
        <f>PROPER($D79)&amp;" "&amp;$H79&amp;$L79&amp;" "&amp;$M79&amp;"$"&amp;ABS($K79)&amp;" to $"&amp;$J79</f>
        <v/>
      </c>
      <c r="O79">
        <f>(J79/I79)*100</f>
        <v/>
      </c>
    </row>
    <row r="80" ht="15.5" customHeight="1">
      <c r="A80" s="14" t="n">
        <v>1041031</v>
      </c>
      <c r="B80" s="15" t="inlineStr">
        <is>
          <t>TBS - Retail Price</t>
        </is>
      </c>
      <c r="C80" s="15" t="inlineStr">
        <is>
          <t>LABATT BREWERIES OF CANADA LP</t>
        </is>
      </c>
      <c r="D80" s="15" t="inlineStr">
        <is>
          <t>BUD LIGHT</t>
        </is>
      </c>
      <c r="E80" s="14" t="inlineStr">
        <is>
          <t>Cans</t>
        </is>
      </c>
      <c r="F80" s="14" t="n">
        <v>355</v>
      </c>
      <c r="G80" s="15" t="inlineStr">
        <is>
          <t>Cans  355 ml</t>
        </is>
      </c>
      <c r="H80" s="14" t="n">
        <v>12</v>
      </c>
      <c r="I80" s="16" t="n">
        <v>24.29</v>
      </c>
      <c r="J80" s="16" t="n">
        <v>23.99</v>
      </c>
      <c r="K80" s="16" t="n">
        <v>-0.3</v>
      </c>
      <c r="L80" s="1">
        <f>IF(F80&gt;355,"TC",LEFT(E80,1))</f>
        <v/>
      </c>
      <c r="M80" s="1">
        <f>IF(K80&gt;0,"+","-")</f>
        <v/>
      </c>
      <c r="N80">
        <f>PROPER($D80)&amp;" "&amp;$H80&amp;$L80&amp;" "&amp;$M80&amp;"$"&amp;ABS($K80)&amp;" to $"&amp;$J80</f>
        <v/>
      </c>
      <c r="O80">
        <f>(J80/I80)*100</f>
        <v/>
      </c>
    </row>
    <row r="81" ht="15.5" customHeight="1">
      <c r="A81" s="14" t="n">
        <v>1035031</v>
      </c>
      <c r="B81" s="15" t="inlineStr">
        <is>
          <t>TBS - Retail Price</t>
        </is>
      </c>
      <c r="C81" s="15" t="inlineStr">
        <is>
          <t>LABATT BREWERIES OF CANADA LP</t>
        </is>
      </c>
      <c r="D81" s="15" t="inlineStr">
        <is>
          <t>BUDWEISER</t>
        </is>
      </c>
      <c r="E81" s="14" t="inlineStr">
        <is>
          <t>Cans</t>
        </is>
      </c>
      <c r="F81" s="14" t="n">
        <v>355</v>
      </c>
      <c r="G81" s="15" t="inlineStr">
        <is>
          <t>Cans  355 ml</t>
        </is>
      </c>
      <c r="H81" s="14" t="n">
        <v>12</v>
      </c>
      <c r="I81" s="16" t="n">
        <v>24.29</v>
      </c>
      <c r="J81" s="16" t="n">
        <v>23.99</v>
      </c>
      <c r="K81" s="16" t="n">
        <v>-0.3</v>
      </c>
      <c r="L81" s="1">
        <f>IF(F81&gt;355,"TC",LEFT(E81,1))</f>
        <v/>
      </c>
      <c r="M81" s="1">
        <f>IF(K81&gt;0,"+","-")</f>
        <v/>
      </c>
      <c r="N81">
        <f>PROPER($D81)&amp;" "&amp;$H81&amp;$L81&amp;" "&amp;$M81&amp;"$"&amp;ABS($K81)&amp;" to $"&amp;$J81</f>
        <v/>
      </c>
      <c r="O81">
        <f>(J81/I81)*100</f>
        <v/>
      </c>
    </row>
    <row r="82" ht="15.5" customHeight="1">
      <c r="A82" s="14" t="n">
        <v>2598012</v>
      </c>
      <c r="B82" s="15" t="inlineStr">
        <is>
          <t>TBS - Retail Price</t>
        </is>
      </c>
      <c r="C82" s="15" t="inlineStr">
        <is>
          <t>LABATT BREWERIES OF CANADA LP</t>
        </is>
      </c>
      <c r="D82" s="15" t="inlineStr">
        <is>
          <t>STELLA ARTOIS</t>
        </is>
      </c>
      <c r="E82" s="14" t="inlineStr">
        <is>
          <t>Bottles</t>
        </is>
      </c>
      <c r="F82" s="14" t="n">
        <v>330</v>
      </c>
      <c r="G82" s="15" t="inlineStr">
        <is>
          <t>Bottles  330 ml</t>
        </is>
      </c>
      <c r="H82" s="14" t="n">
        <v>12</v>
      </c>
      <c r="I82" s="16" t="n">
        <v>28.49</v>
      </c>
      <c r="J82" s="16" t="n">
        <v>28.19</v>
      </c>
      <c r="K82" s="16" t="n">
        <v>-0.3</v>
      </c>
      <c r="L82" s="1">
        <f>IF(F82&gt;355,"TC",LEFT(E82,1))</f>
        <v/>
      </c>
      <c r="M82" s="1">
        <f>IF(K82&gt;0,"+","-")</f>
        <v/>
      </c>
      <c r="N82">
        <f>PROPER($D82)&amp;" "&amp;$H82&amp;$L82&amp;" "&amp;$M82&amp;"$"&amp;ABS($K82)&amp;" to $"&amp;$J82</f>
        <v/>
      </c>
      <c r="O82">
        <f>(J82/I82)*100</f>
        <v/>
      </c>
    </row>
    <row r="83" ht="15.5" customHeight="1">
      <c r="A83" s="14" t="n">
        <v>1448004</v>
      </c>
      <c r="B83" s="15" t="inlineStr">
        <is>
          <t>TBS - Retail Price</t>
        </is>
      </c>
      <c r="C83" s="15" t="inlineStr">
        <is>
          <t>WELLINGTON COUNTY BREWERY INC</t>
        </is>
      </c>
      <c r="D83" s="15" t="inlineStr">
        <is>
          <t>HELLES LAGER</t>
        </is>
      </c>
      <c r="E83" s="14" t="inlineStr">
        <is>
          <t>Can</t>
        </is>
      </c>
      <c r="F83" s="14" t="n">
        <v>473</v>
      </c>
      <c r="G83" s="15" t="inlineStr">
        <is>
          <t>Can  473 ml</t>
        </is>
      </c>
      <c r="H83" s="14" t="n">
        <v>1</v>
      </c>
      <c r="I83" s="16" t="n">
        <v>3.15</v>
      </c>
      <c r="J83" s="16" t="n">
        <v>2.85</v>
      </c>
      <c r="K83" s="16" t="n">
        <v>-0.3</v>
      </c>
      <c r="L83" s="1">
        <f>IF(F83&gt;355,"TC",LEFT(E83,1))</f>
        <v/>
      </c>
      <c r="M83" s="1">
        <f>IF(K83&gt;0,"+","-")</f>
        <v/>
      </c>
      <c r="N83">
        <f>PROPER($D83)&amp;" "&amp;$H83&amp;$L83&amp;" "&amp;$M83&amp;"$"&amp;ABS($K83)&amp;" to $"&amp;$J83</f>
        <v/>
      </c>
      <c r="O83">
        <f>(J83/I83)*100</f>
        <v/>
      </c>
    </row>
    <row r="84" ht="15.5" customHeight="1">
      <c r="A84" s="14" t="n">
        <v>1119063</v>
      </c>
      <c r="B84" s="15" t="inlineStr">
        <is>
          <t>TBS - Retail Price</t>
        </is>
      </c>
      <c r="C84" s="15" t="inlineStr">
        <is>
          <t>HACKER-PSCHORR BREWERY GMBH</t>
        </is>
      </c>
      <c r="D84" s="15" t="inlineStr">
        <is>
          <t>HACKER WEISSBIER</t>
        </is>
      </c>
      <c r="E84" s="14" t="inlineStr">
        <is>
          <t>Can</t>
        </is>
      </c>
      <c r="F84" s="14" t="n">
        <v>500</v>
      </c>
      <c r="G84" s="15" t="inlineStr">
        <is>
          <t>Can  500 ml</t>
        </is>
      </c>
      <c r="H84" s="14" t="n">
        <v>1</v>
      </c>
      <c r="I84" s="16" t="n">
        <v>2.83</v>
      </c>
      <c r="J84" s="16" t="n">
        <v>2.57</v>
      </c>
      <c r="K84" s="16" t="n">
        <v>-0.26</v>
      </c>
      <c r="L84" s="1">
        <f>IF(F84&gt;355,"TC",LEFT(E84,1))</f>
        <v/>
      </c>
      <c r="M84" s="1">
        <f>IF(K84&gt;0,"+","-")</f>
        <v/>
      </c>
      <c r="N84">
        <f>PROPER($D84)&amp;" "&amp;$H84&amp;$L84&amp;" "&amp;$M84&amp;"$"&amp;ABS($K84)&amp;" to $"&amp;$J84</f>
        <v/>
      </c>
      <c r="O84">
        <f>(J84/I84)*100</f>
        <v/>
      </c>
    </row>
    <row r="85" ht="15.5" customHeight="1">
      <c r="A85" s="14" t="n">
        <v>2662063</v>
      </c>
      <c r="B85" s="15" t="inlineStr">
        <is>
          <t>TBS - Retail Price</t>
        </is>
      </c>
      <c r="C85" s="15" t="inlineStr">
        <is>
          <t>PAULANER BRAUEREI GRUPPE</t>
        </is>
      </c>
      <c r="D85" s="15" t="inlineStr">
        <is>
          <t>PAULANER HELL MUNCH</t>
        </is>
      </c>
      <c r="E85" s="14" t="inlineStr">
        <is>
          <t>Can</t>
        </is>
      </c>
      <c r="F85" s="14" t="n">
        <v>500</v>
      </c>
      <c r="G85" s="15" t="inlineStr">
        <is>
          <t>Can  500 ml</t>
        </is>
      </c>
      <c r="H85" s="14" t="n">
        <v>1</v>
      </c>
      <c r="I85" s="16" t="n">
        <v>2.43</v>
      </c>
      <c r="J85" s="16" t="n">
        <v>2.18</v>
      </c>
      <c r="K85" s="16" t="n">
        <v>-0.25</v>
      </c>
      <c r="L85" s="1">
        <f>IF(F85&gt;355,"TC",LEFT(E85,1))</f>
        <v/>
      </c>
      <c r="M85" s="1">
        <f>IF(K85&gt;0,"+","-")</f>
        <v/>
      </c>
      <c r="N85">
        <f>PROPER($D85)&amp;" "&amp;$H85&amp;$L85&amp;" "&amp;$M85&amp;"$"&amp;ABS($K85)&amp;" to $"&amp;$J85</f>
        <v/>
      </c>
      <c r="O85">
        <f>(J85/I85)*100</f>
        <v/>
      </c>
    </row>
    <row r="86" ht="15.5" customHeight="1">
      <c r="A86" s="14" t="n">
        <v>1161063</v>
      </c>
      <c r="B86" s="15" t="inlineStr">
        <is>
          <t>TBS - Retail Price</t>
        </is>
      </c>
      <c r="C86" s="15" t="inlineStr">
        <is>
          <t>PAULANER BRAUEREI GRUPPE</t>
        </is>
      </c>
      <c r="D86" s="15" t="inlineStr">
        <is>
          <t>PAULANER WEISSBIER</t>
        </is>
      </c>
      <c r="E86" s="14" t="inlineStr">
        <is>
          <t>Can</t>
        </is>
      </c>
      <c r="F86" s="14" t="n">
        <v>500</v>
      </c>
      <c r="G86" s="15" t="inlineStr">
        <is>
          <t>Can  500 ml</t>
        </is>
      </c>
      <c r="H86" s="14" t="n">
        <v>1</v>
      </c>
      <c r="I86" s="16" t="n">
        <v>3.01</v>
      </c>
      <c r="J86" s="16" t="n">
        <v>2.76</v>
      </c>
      <c r="K86" s="16" t="n">
        <v>-0.25</v>
      </c>
      <c r="L86" s="1">
        <f>IF(F86&gt;355,"TC",LEFT(E86,1))</f>
        <v/>
      </c>
      <c r="M86" s="1">
        <f>IF(K86&gt;0,"+","-")</f>
        <v/>
      </c>
      <c r="N86">
        <f>PROPER($D86)&amp;" "&amp;$H86&amp;$L86&amp;" "&amp;$M86&amp;"$"&amp;ABS($K86)&amp;" to $"&amp;$J86</f>
        <v/>
      </c>
      <c r="O86">
        <f>(J86/I86)*100</f>
        <v/>
      </c>
    </row>
    <row r="87" ht="15.5" customHeight="1">
      <c r="A87" s="14" t="n">
        <v>1632038</v>
      </c>
      <c r="B87" s="15" t="inlineStr">
        <is>
          <t>TBS - Retail Price</t>
        </is>
      </c>
      <c r="C87" s="15" t="inlineStr">
        <is>
          <t>MOOSEHEAD BREWERIES LIMITED</t>
        </is>
      </c>
      <c r="D87" s="15" t="inlineStr">
        <is>
          <t>ALPINE LAGER</t>
        </is>
      </c>
      <c r="E87" s="14" t="inlineStr">
        <is>
          <t>Cans</t>
        </is>
      </c>
      <c r="F87" s="14" t="n">
        <v>473</v>
      </c>
      <c r="G87" s="15" t="inlineStr">
        <is>
          <t>Cans  473 ml</t>
        </is>
      </c>
      <c r="H87" s="14" t="n">
        <v>6</v>
      </c>
      <c r="I87" s="16" t="n">
        <v>15.19</v>
      </c>
      <c r="J87" s="16" t="n">
        <v>14.99</v>
      </c>
      <c r="K87" s="16" t="n">
        <v>-0.2</v>
      </c>
      <c r="L87" s="1">
        <f>IF(F87&gt;355,"TC",LEFT(E87,1))</f>
        <v/>
      </c>
      <c r="M87" s="1">
        <f>IF(K87&gt;0,"+","-")</f>
        <v/>
      </c>
      <c r="N87">
        <f>PROPER($D87)&amp;" "&amp;$H87&amp;$L87&amp;" "&amp;$M87&amp;"$"&amp;ABS($K87)&amp;" to $"&amp;$J87</f>
        <v/>
      </c>
      <c r="O87">
        <f>(J87/I87)*100</f>
        <v/>
      </c>
    </row>
    <row r="88" ht="15.5" customHeight="1">
      <c r="A88" s="14" t="n">
        <v>1629038</v>
      </c>
      <c r="B88" s="15" t="inlineStr">
        <is>
          <t>TBS - Retail Price</t>
        </is>
      </c>
      <c r="C88" s="15" t="inlineStr">
        <is>
          <t>MOOSEHEAD BREWERIES LIMITED</t>
        </is>
      </c>
      <c r="D88" s="15" t="inlineStr">
        <is>
          <t>CRACKED CANOE</t>
        </is>
      </c>
      <c r="E88" s="14" t="inlineStr">
        <is>
          <t>Cans</t>
        </is>
      </c>
      <c r="F88" s="14" t="n">
        <v>473</v>
      </c>
      <c r="G88" s="15" t="inlineStr">
        <is>
          <t>Cans  473 ml</t>
        </is>
      </c>
      <c r="H88" s="14" t="n">
        <v>6</v>
      </c>
      <c r="I88" s="16" t="n">
        <v>15.19</v>
      </c>
      <c r="J88" s="16" t="n">
        <v>14.99</v>
      </c>
      <c r="K88" s="16" t="n">
        <v>-0.2</v>
      </c>
      <c r="L88" s="1">
        <f>IF(F88&gt;355,"TC",LEFT(E88,1))</f>
        <v/>
      </c>
      <c r="M88" s="1">
        <f>IF(K88&gt;0,"+","-")</f>
        <v/>
      </c>
      <c r="N88">
        <f>PROPER($D88)&amp;" "&amp;$H88&amp;$L88&amp;" "&amp;$M88&amp;"$"&amp;ABS($K88)&amp;" to $"&amp;$J88</f>
        <v/>
      </c>
      <c r="O88">
        <f>(J88/I88)*100</f>
        <v/>
      </c>
    </row>
    <row r="89" ht="15.5" customHeight="1">
      <c r="A89" s="14" t="n">
        <v>1628038</v>
      </c>
      <c r="B89" s="15" t="inlineStr">
        <is>
          <t>TBS - Retail Price</t>
        </is>
      </c>
      <c r="C89" s="15" t="inlineStr">
        <is>
          <t>MOOSEHEAD BREWERIES LIMITED</t>
        </is>
      </c>
      <c r="D89" s="15" t="inlineStr">
        <is>
          <t>MOOSEHEAD LAGER</t>
        </is>
      </c>
      <c r="E89" s="14" t="inlineStr">
        <is>
          <t>Cans</t>
        </is>
      </c>
      <c r="F89" s="14" t="n">
        <v>473</v>
      </c>
      <c r="G89" s="15" t="inlineStr">
        <is>
          <t>Cans  473 ml</t>
        </is>
      </c>
      <c r="H89" s="14" t="n">
        <v>6</v>
      </c>
      <c r="I89" s="16" t="n">
        <v>15.19</v>
      </c>
      <c r="J89" s="16" t="n">
        <v>14.99</v>
      </c>
      <c r="K89" s="16" t="n">
        <v>-0.2</v>
      </c>
      <c r="L89" s="1">
        <f>IF(F89&gt;355,"TC",LEFT(E89,1))</f>
        <v/>
      </c>
      <c r="M89" s="1">
        <f>IF(K89&gt;0,"+","-")</f>
        <v/>
      </c>
      <c r="N89">
        <f>PROPER($D89)&amp;" "&amp;$H89&amp;$L89&amp;" "&amp;$M89&amp;"$"&amp;ABS($K89)&amp;" to $"&amp;$J89</f>
        <v/>
      </c>
      <c r="O89">
        <f>(J89/I89)*100</f>
        <v/>
      </c>
    </row>
    <row r="90" ht="15.5" customHeight="1">
      <c r="A90" s="14" t="n">
        <v>1219063</v>
      </c>
      <c r="B90" s="15" t="inlineStr">
        <is>
          <t>TBS - Retail Price</t>
        </is>
      </c>
      <c r="C90" s="15" t="inlineStr">
        <is>
          <t>KOMPANIA PIWOWARSKA SA</t>
        </is>
      </c>
      <c r="D90" s="15" t="inlineStr">
        <is>
          <t>TYSKIE GRONIE</t>
        </is>
      </c>
      <c r="E90" s="14" t="inlineStr">
        <is>
          <t>Can</t>
        </is>
      </c>
      <c r="F90" s="14" t="n">
        <v>500</v>
      </c>
      <c r="G90" s="15" t="inlineStr">
        <is>
          <t>Can  500 ml</t>
        </is>
      </c>
      <c r="H90" s="14" t="n">
        <v>1</v>
      </c>
      <c r="I90" s="16" t="n">
        <v>2.49</v>
      </c>
      <c r="J90" s="16" t="n">
        <v>2.34</v>
      </c>
      <c r="K90" s="16" t="n">
        <v>-0.15</v>
      </c>
      <c r="L90" s="1">
        <f>IF(F90&gt;355,"TC",LEFT(E90,1))</f>
        <v/>
      </c>
      <c r="M90" s="1">
        <f>IF(K90&gt;0,"+","-")</f>
        <v/>
      </c>
      <c r="N90">
        <f>PROPER($D90)&amp;" "&amp;$H90&amp;$L90&amp;" "&amp;$M90&amp;"$"&amp;ABS($K90)&amp;" to $"&amp;$J90</f>
        <v/>
      </c>
      <c r="O90">
        <f>(J90/I90)*100</f>
        <v/>
      </c>
    </row>
    <row r="91" ht="15.5" customHeight="1">
      <c r="A91" s="14" t="n">
        <v>3452004</v>
      </c>
      <c r="B91" s="15" t="inlineStr">
        <is>
          <t>TBS - Retail Price</t>
        </is>
      </c>
      <c r="C91" s="15" t="inlineStr">
        <is>
          <t>MOOSEHEAD BREWERIES LIMITED</t>
        </is>
      </c>
      <c r="D91" s="15" t="inlineStr">
        <is>
          <t>GROLSCH</t>
        </is>
      </c>
      <c r="E91" s="14" t="inlineStr">
        <is>
          <t>Can</t>
        </is>
      </c>
      <c r="F91" s="14" t="n">
        <v>473</v>
      </c>
      <c r="G91" s="15" t="inlineStr">
        <is>
          <t>Can  473 ml</t>
        </is>
      </c>
      <c r="H91" s="14" t="n">
        <v>1</v>
      </c>
      <c r="I91" s="16" t="n">
        <v>2.45</v>
      </c>
      <c r="J91" s="16" t="n">
        <v>2.3</v>
      </c>
      <c r="K91" s="16" t="n">
        <v>-0.15</v>
      </c>
      <c r="L91" s="1">
        <f>IF(F91&gt;355,"TC",LEFT(E91,1))</f>
        <v/>
      </c>
      <c r="M91" s="1">
        <f>IF(K91&gt;0,"+","-")</f>
        <v/>
      </c>
      <c r="N91">
        <f>PROPER($D91)&amp;" "&amp;$H91&amp;$L91&amp;" "&amp;$M91&amp;"$"&amp;ABS($K91)&amp;" to $"&amp;$J91</f>
        <v/>
      </c>
      <c r="O91">
        <f>(J91/I91)*100</f>
        <v/>
      </c>
    </row>
    <row r="92" ht="15.5" customHeight="1">
      <c r="A92" s="14" t="n">
        <v>1620004</v>
      </c>
      <c r="B92" s="15" t="inlineStr">
        <is>
          <t>TBS - Retail Price</t>
        </is>
      </c>
      <c r="C92" s="15" t="inlineStr">
        <is>
          <t>MOOSEHEAD BREWERIES LIMITED</t>
        </is>
      </c>
      <c r="D92" s="15" t="inlineStr">
        <is>
          <t>MOOSEHEAD RADLER</t>
        </is>
      </c>
      <c r="E92" s="14" t="inlineStr">
        <is>
          <t>Can</t>
        </is>
      </c>
      <c r="F92" s="14" t="n">
        <v>473</v>
      </c>
      <c r="G92" s="15" t="inlineStr">
        <is>
          <t>Can  473 ml</t>
        </is>
      </c>
      <c r="H92" s="14" t="n">
        <v>1</v>
      </c>
      <c r="I92" s="16" t="n">
        <v>3.05</v>
      </c>
      <c r="J92" s="16" t="n">
        <v>2.99</v>
      </c>
      <c r="K92" s="16" t="n">
        <v>-0.06</v>
      </c>
      <c r="L92" s="1">
        <f>IF(F92&gt;355,"TC",LEFT(E92,1))</f>
        <v/>
      </c>
      <c r="M92" s="1">
        <f>IF(K92&gt;0,"+","-")</f>
        <v/>
      </c>
      <c r="N92">
        <f>PROPER($D92)&amp;" "&amp;$H92&amp;$L92&amp;" "&amp;$M92&amp;"$"&amp;ABS($K92)&amp;" to $"&amp;$J92</f>
        <v/>
      </c>
      <c r="O92">
        <f>(J92/I92)*100</f>
        <v/>
      </c>
    </row>
    <row r="93" ht="15.5" customHeight="1">
      <c r="A93" s="14" t="n">
        <v>1194063</v>
      </c>
      <c r="B93" s="15" t="inlineStr">
        <is>
          <t>TBS - Retail Price</t>
        </is>
      </c>
      <c r="C93" s="15" t="inlineStr">
        <is>
          <t>HACKER-PSCHORR BREWERY GMBH</t>
        </is>
      </c>
      <c r="D93" s="15" t="inlineStr">
        <is>
          <t>MUNICH GOLD LAGER</t>
        </is>
      </c>
      <c r="E93" s="14" t="inlineStr">
        <is>
          <t>Can</t>
        </is>
      </c>
      <c r="F93" s="14" t="n">
        <v>500</v>
      </c>
      <c r="G93" s="15" t="inlineStr">
        <is>
          <t>Can  500 ml</t>
        </is>
      </c>
      <c r="H93" s="14" t="n">
        <v>1</v>
      </c>
      <c r="I93" s="16" t="n">
        <v>2.39</v>
      </c>
      <c r="J93" s="16" t="n">
        <v>2.43</v>
      </c>
      <c r="K93" s="16" t="n">
        <v>0.04</v>
      </c>
      <c r="L93" s="1">
        <f>IF(F93&gt;355,"TC",LEFT(E93,1))</f>
        <v/>
      </c>
      <c r="M93" s="1">
        <f>IF(K93&gt;0,"+","-")</f>
        <v/>
      </c>
      <c r="N93">
        <f>PROPER($D93)&amp;" "&amp;$H93&amp;$L93&amp;" "&amp;$M93&amp;"$"&amp;ABS($K93)&amp;" to $"&amp;$J93</f>
        <v/>
      </c>
      <c r="O93">
        <f>(J93/I93)*100</f>
        <v/>
      </c>
    </row>
    <row r="94" ht="15.5" customHeight="1">
      <c r="A94" s="14" t="n">
        <v>3154004</v>
      </c>
      <c r="B94" s="15" t="inlineStr">
        <is>
          <t>TBS - Retail Price</t>
        </is>
      </c>
      <c r="C94" s="15" t="inlineStr">
        <is>
          <t>FARMERS CREED CORP</t>
        </is>
      </c>
      <c r="D94" s="15" t="inlineStr">
        <is>
          <t>LONGHORN LAGER</t>
        </is>
      </c>
      <c r="E94" s="14" t="inlineStr">
        <is>
          <t>Can</t>
        </is>
      </c>
      <c r="F94" s="14" t="n">
        <v>473</v>
      </c>
      <c r="G94" s="15" t="inlineStr">
        <is>
          <t>Can  473 ml</t>
        </is>
      </c>
      <c r="H94" s="14" t="n">
        <v>1</v>
      </c>
      <c r="I94" s="16" t="n">
        <v>2.79</v>
      </c>
      <c r="J94" s="16" t="n">
        <v>2.89</v>
      </c>
      <c r="K94" s="16" t="n">
        <v>0.1</v>
      </c>
      <c r="L94" s="1">
        <f>IF(F94&gt;355,"TC",LEFT(E94,1))</f>
        <v/>
      </c>
      <c r="M94" s="1">
        <f>IF(K94&gt;0,"+","-")</f>
        <v/>
      </c>
      <c r="N94">
        <f>PROPER($D94)&amp;" "&amp;$H94&amp;$L94&amp;" "&amp;$M94&amp;"$"&amp;ABS($K94)&amp;" to $"&amp;$J94</f>
        <v/>
      </c>
      <c r="O94">
        <f>(J94/I94)*100</f>
        <v/>
      </c>
    </row>
    <row r="95" ht="15.5" customHeight="1">
      <c r="A95" s="14" t="n">
        <v>1624004</v>
      </c>
      <c r="B95" s="15" t="inlineStr">
        <is>
          <t>TBS - Retail Price</t>
        </is>
      </c>
      <c r="C95" s="15" t="inlineStr">
        <is>
          <t>MOOSEHEAD BREWERIES LIMITED</t>
        </is>
      </c>
      <c r="D95" s="15" t="inlineStr">
        <is>
          <t>MOOSEHEAD LIGHT</t>
        </is>
      </c>
      <c r="E95" s="14" t="inlineStr">
        <is>
          <t>Can</t>
        </is>
      </c>
      <c r="F95" s="14" t="n">
        <v>473</v>
      </c>
      <c r="G95" s="15" t="inlineStr">
        <is>
          <t>Can  473 ml</t>
        </is>
      </c>
      <c r="H95" s="14" t="n">
        <v>1</v>
      </c>
      <c r="I95" s="16" t="n">
        <v>2.59</v>
      </c>
      <c r="J95" s="16" t="n">
        <v>2.69</v>
      </c>
      <c r="K95" s="16" t="n">
        <v>0.1</v>
      </c>
      <c r="L95" s="1">
        <f>IF(F95&gt;355,"TC",LEFT(E95,1))</f>
        <v/>
      </c>
      <c r="M95" s="1">
        <f>IF(K95&gt;0,"+","-")</f>
        <v/>
      </c>
      <c r="N95">
        <f>PROPER($D95)&amp;" "&amp;$H95&amp;$L95&amp;" "&amp;$M95&amp;"$"&amp;ABS($K95)&amp;" to $"&amp;$J95</f>
        <v/>
      </c>
      <c r="O95">
        <f>(J95/I95)*100</f>
        <v/>
      </c>
    </row>
    <row r="96" ht="15.5" customHeight="1">
      <c r="A96" s="14" t="n">
        <v>2975004</v>
      </c>
      <c r="B96" s="15" t="inlineStr">
        <is>
          <t>TBS - Retail Price</t>
        </is>
      </c>
      <c r="C96" s="15" t="inlineStr">
        <is>
          <t>STOCKYARDS BEVERAGE COMPANY INC.</t>
        </is>
      </c>
      <c r="D96" s="15" t="inlineStr">
        <is>
          <t>STOCKYARDS LAGER</t>
        </is>
      </c>
      <c r="E96" s="14" t="inlineStr">
        <is>
          <t>Can</t>
        </is>
      </c>
      <c r="F96" s="14" t="n">
        <v>473</v>
      </c>
      <c r="G96" s="15" t="inlineStr">
        <is>
          <t>Can  473 ml</t>
        </is>
      </c>
      <c r="H96" s="14" t="n">
        <v>1</v>
      </c>
      <c r="I96" s="16" t="n">
        <v>3.14</v>
      </c>
      <c r="J96" s="16" t="n">
        <v>3.32</v>
      </c>
      <c r="K96" s="16" t="n">
        <v>0.18</v>
      </c>
      <c r="L96" s="1">
        <f>IF(F96&gt;355,"TC",LEFT(E96,1))</f>
        <v/>
      </c>
      <c r="M96" s="1">
        <f>IF(K96&gt;0,"+","-")</f>
        <v/>
      </c>
      <c r="N96">
        <f>PROPER($D96)&amp;" "&amp;$H96&amp;$L96&amp;" "&amp;$M96&amp;"$"&amp;ABS($K96)&amp;" to $"&amp;$J96</f>
        <v/>
      </c>
      <c r="O96">
        <f>(J96/I96)*100</f>
        <v/>
      </c>
    </row>
    <row r="97" ht="15.5" customHeight="1">
      <c r="A97" s="14" t="n">
        <v>3715004</v>
      </c>
      <c r="B97" s="15" t="inlineStr">
        <is>
          <t>TBS - Retail Price</t>
        </is>
      </c>
      <c r="C97" s="15" t="inlineStr">
        <is>
          <t>FARMERS CREED CORP</t>
        </is>
      </c>
      <c r="D97" s="15" t="inlineStr">
        <is>
          <t>ROUGH STOCK IPA</t>
        </is>
      </c>
      <c r="E97" s="14" t="inlineStr">
        <is>
          <t>Can</t>
        </is>
      </c>
      <c r="F97" s="14" t="n">
        <v>473</v>
      </c>
      <c r="G97" s="15" t="inlineStr">
        <is>
          <t>Can  473 ml</t>
        </is>
      </c>
      <c r="H97" s="14" t="n">
        <v>1</v>
      </c>
      <c r="I97" s="16" t="n">
        <v>2.99</v>
      </c>
      <c r="J97" s="16" t="n">
        <v>3.19</v>
      </c>
      <c r="K97" s="16" t="n">
        <v>0.2</v>
      </c>
      <c r="L97" s="1">
        <f>IF(F97&gt;355,"TC",LEFT(E97,1))</f>
        <v/>
      </c>
      <c r="M97" s="1">
        <f>IF(K97&gt;0,"+","-")</f>
        <v/>
      </c>
      <c r="N97">
        <f>PROPER($D97)&amp;" "&amp;$H97&amp;$L97&amp;" "&amp;$M97&amp;"$"&amp;ABS($K97)&amp;" to $"&amp;$J97</f>
        <v/>
      </c>
      <c r="O97">
        <f>(J97/I97)*100</f>
        <v/>
      </c>
    </row>
    <row r="98" ht="15.5" customHeight="1">
      <c r="A98" s="14" t="n">
        <v>1584004</v>
      </c>
      <c r="B98" s="15" t="inlineStr">
        <is>
          <t>TBS - Licensee</t>
        </is>
      </c>
      <c r="C98" s="15" t="inlineStr">
        <is>
          <t>NICKEL BROOK BREWING COMPANY INC</t>
        </is>
      </c>
      <c r="D98" s="15" t="inlineStr">
        <is>
          <t>HEADSTOCK IPA</t>
        </is>
      </c>
      <c r="E98" s="14" t="inlineStr">
        <is>
          <t>Can</t>
        </is>
      </c>
      <c r="F98" s="14" t="n">
        <v>473</v>
      </c>
      <c r="G98" s="15" t="inlineStr">
        <is>
          <t>Can  473 ml</t>
        </is>
      </c>
      <c r="H98" s="14" t="n">
        <v>1</v>
      </c>
      <c r="I98" s="16" t="n">
        <v>3.05</v>
      </c>
      <c r="J98" s="16" t="n">
        <v>3.3</v>
      </c>
      <c r="K98" s="16" t="n">
        <v>0.25</v>
      </c>
      <c r="L98" s="1">
        <f>IF(F98&gt;355,"TC",LEFT(E98,1))</f>
        <v/>
      </c>
      <c r="M98" s="1">
        <f>IF(K98&gt;0,"+","-")</f>
        <v/>
      </c>
      <c r="N98">
        <f>PROPER($D98)&amp;" "&amp;$H98&amp;$L98&amp;" "&amp;$M98&amp;"$"&amp;ABS($K98)&amp;" to $"&amp;$J98</f>
        <v/>
      </c>
      <c r="O98">
        <f>(J98/I98)*100</f>
        <v/>
      </c>
    </row>
    <row r="99" ht="15.5" customHeight="1">
      <c r="A99" s="14" t="n">
        <v>1584004</v>
      </c>
      <c r="B99" s="15" t="inlineStr">
        <is>
          <t>TBS - Retail Price</t>
        </is>
      </c>
      <c r="C99" s="15" t="inlineStr">
        <is>
          <t>NICKEL BROOK BREWING COMPANY INC</t>
        </is>
      </c>
      <c r="D99" s="15" t="inlineStr">
        <is>
          <t>HEADSTOCK IPA</t>
        </is>
      </c>
      <c r="E99" s="14" t="inlineStr">
        <is>
          <t>Can</t>
        </is>
      </c>
      <c r="F99" s="14" t="n">
        <v>473</v>
      </c>
      <c r="G99" s="15" t="inlineStr">
        <is>
          <t>Can  473 ml</t>
        </is>
      </c>
      <c r="H99" s="14" t="n">
        <v>1</v>
      </c>
      <c r="I99" s="16" t="n">
        <v>3.05</v>
      </c>
      <c r="J99" s="16" t="n">
        <v>3.3</v>
      </c>
      <c r="K99" s="16" t="n">
        <v>0.25</v>
      </c>
      <c r="L99" s="1">
        <f>IF(F99&gt;355,"TC",LEFT(E99,1))</f>
        <v/>
      </c>
      <c r="M99" s="1">
        <f>IF(K99&gt;0,"+","-")</f>
        <v/>
      </c>
      <c r="N99">
        <f>PROPER($D99)&amp;" "&amp;$H99&amp;$L99&amp;" "&amp;$M99&amp;"$"&amp;ABS($K99)&amp;" to $"&amp;$J99</f>
        <v/>
      </c>
      <c r="O99">
        <f>(J99/I99)*100</f>
        <v/>
      </c>
    </row>
    <row r="100" ht="15.5" customHeight="1">
      <c r="A100" s="14" t="n">
        <v>1617173</v>
      </c>
      <c r="B100" s="15" t="inlineStr">
        <is>
          <t>TBS - Retail Price</t>
        </is>
      </c>
      <c r="C100" s="15" t="inlineStr">
        <is>
          <t>MOOSEHEAD BREWERIES LIMITED</t>
        </is>
      </c>
      <c r="D100" s="15" t="inlineStr">
        <is>
          <t>JAMES READY 5.5</t>
        </is>
      </c>
      <c r="E100" s="14" t="inlineStr">
        <is>
          <t>Cans</t>
        </is>
      </c>
      <c r="F100" s="14" t="n">
        <v>355</v>
      </c>
      <c r="G100" s="15" t="inlineStr">
        <is>
          <t>Cans  355 ml</t>
        </is>
      </c>
      <c r="H100" s="14" t="n">
        <v>15</v>
      </c>
      <c r="I100" s="16" t="n">
        <v>25.99</v>
      </c>
      <c r="J100" s="16" t="n">
        <v>26.49</v>
      </c>
      <c r="K100" s="16" t="n">
        <v>0.5</v>
      </c>
      <c r="L100" s="1">
        <f>IF(F100&gt;355,"TC",LEFT(E100,1))</f>
        <v/>
      </c>
      <c r="M100" s="1">
        <f>IF(K100&gt;0,"+","-")</f>
        <v/>
      </c>
      <c r="N100">
        <f>PROPER($D100)&amp;" "&amp;$H100&amp;$L100&amp;" "&amp;$M100&amp;"$"&amp;ABS($K100)&amp;" to $"&amp;$J100</f>
        <v/>
      </c>
      <c r="O100">
        <f>(J100/I100)*100</f>
        <v/>
      </c>
    </row>
    <row r="101" ht="15.5" customHeight="1">
      <c r="A101" s="14" t="n">
        <v>1631173</v>
      </c>
      <c r="B101" s="15" t="inlineStr">
        <is>
          <t>TBS - Retail Price</t>
        </is>
      </c>
      <c r="C101" s="15" t="inlineStr">
        <is>
          <t>MOOSEHEAD BREWERIES LIMITED</t>
        </is>
      </c>
      <c r="D101" s="15" t="inlineStr">
        <is>
          <t>JAMES READY 6.0</t>
        </is>
      </c>
      <c r="E101" s="14" t="inlineStr">
        <is>
          <t>Cans</t>
        </is>
      </c>
      <c r="F101" s="14" t="n">
        <v>355</v>
      </c>
      <c r="G101" s="15" t="inlineStr">
        <is>
          <t>Cans  355 ml</t>
        </is>
      </c>
      <c r="H101" s="14" t="n">
        <v>15</v>
      </c>
      <c r="I101" s="16" t="n">
        <v>25.99</v>
      </c>
      <c r="J101" s="16" t="n">
        <v>26.49</v>
      </c>
      <c r="K101" s="16" t="n">
        <v>0.5</v>
      </c>
      <c r="L101" s="1">
        <f>IF(F101&gt;355,"TC",LEFT(E101,1))</f>
        <v/>
      </c>
      <c r="M101" s="1">
        <f>IF(K101&gt;0,"+","-")</f>
        <v/>
      </c>
      <c r="N101">
        <f>PROPER($D101)&amp;" "&amp;$H101&amp;$L101&amp;" "&amp;$M101&amp;"$"&amp;ABS($K101)&amp;" to $"&amp;$J101</f>
        <v/>
      </c>
      <c r="O101">
        <f>(J101/I101)*100</f>
        <v/>
      </c>
    </row>
    <row r="102" ht="15.5" customHeight="1">
      <c r="A102" s="14" t="n">
        <v>1065002</v>
      </c>
      <c r="B102" s="15" t="inlineStr">
        <is>
          <t>TBS - Retail Price</t>
        </is>
      </c>
      <c r="C102" s="15" t="inlineStr">
        <is>
          <t>STEAM WHISTLE BREWING INC</t>
        </is>
      </c>
      <c r="D102" s="15" t="inlineStr">
        <is>
          <t>STEAM WHISTLE</t>
        </is>
      </c>
      <c r="E102" s="14" t="inlineStr">
        <is>
          <t>Bottles</t>
        </is>
      </c>
      <c r="F102" s="14" t="n">
        <v>341</v>
      </c>
      <c r="G102" s="15" t="inlineStr">
        <is>
          <t>Bottles  341 ml</t>
        </is>
      </c>
      <c r="H102" s="14" t="n">
        <v>12</v>
      </c>
      <c r="I102" s="16" t="n">
        <v>27.99</v>
      </c>
      <c r="J102" s="16" t="n">
        <v>28.49</v>
      </c>
      <c r="K102" s="16" t="n">
        <v>0.5</v>
      </c>
      <c r="L102" s="1">
        <f>IF(F102&gt;355,"TC",LEFT(E102,1))</f>
        <v/>
      </c>
      <c r="M102" s="1">
        <f>IF(K102&gt;0,"+","-")</f>
        <v/>
      </c>
      <c r="N102">
        <f>PROPER($D102)&amp;" "&amp;$H102&amp;$L102&amp;" "&amp;$M102&amp;"$"&amp;ABS($K102)&amp;" to $"&amp;$J102</f>
        <v/>
      </c>
      <c r="O102">
        <f>(J102/I102)*100</f>
        <v/>
      </c>
    </row>
    <row r="103" ht="15.5" customHeight="1">
      <c r="A103" s="14" t="n">
        <v>1709306</v>
      </c>
      <c r="B103" s="15" t="inlineStr">
        <is>
          <t>TBS - Retail Price</t>
        </is>
      </c>
      <c r="C103" s="15" t="inlineStr">
        <is>
          <t>BEAU'S ALL NATURAL BREWING CO LTD</t>
        </is>
      </c>
      <c r="D103" s="15" t="inlineStr">
        <is>
          <t>BEAU'S LUG TREAD</t>
        </is>
      </c>
      <c r="E103" s="14" t="inlineStr">
        <is>
          <t>Cans</t>
        </is>
      </c>
      <c r="F103" s="14" t="n">
        <v>473</v>
      </c>
      <c r="G103" s="15" t="inlineStr">
        <is>
          <t>Cans  473 ml</t>
        </is>
      </c>
      <c r="H103" s="14" t="n">
        <v>6</v>
      </c>
      <c r="I103" s="16" t="n">
        <v>17.59</v>
      </c>
      <c r="J103" s="16" t="n">
        <v>18.29</v>
      </c>
      <c r="K103" s="16" t="n">
        <v>0.7</v>
      </c>
      <c r="L103" s="1">
        <f>IF(F103&gt;355,"TC",LEFT(E103,1))</f>
        <v/>
      </c>
      <c r="M103" s="1">
        <f>IF(K103&gt;0,"+","-")</f>
        <v/>
      </c>
      <c r="N103">
        <f>PROPER($D103)&amp;" "&amp;$H103&amp;$L103&amp;" "&amp;$M103&amp;"$"&amp;ABS($K103)&amp;" to $"&amp;$J103</f>
        <v/>
      </c>
      <c r="O103">
        <f>(J103/I103)*100</f>
        <v/>
      </c>
    </row>
    <row r="104" ht="15.5" customHeight="1">
      <c r="A104" s="14" t="n">
        <v>1065306</v>
      </c>
      <c r="B104" s="15" t="inlineStr">
        <is>
          <t>TBS - Retail Price</t>
        </is>
      </c>
      <c r="C104" s="15" t="inlineStr">
        <is>
          <t>STEAM WHISTLE BREWING INC</t>
        </is>
      </c>
      <c r="D104" s="15" t="inlineStr">
        <is>
          <t>STEAM WHISTLE</t>
        </is>
      </c>
      <c r="E104" s="14" t="inlineStr">
        <is>
          <t>Cans</t>
        </is>
      </c>
      <c r="F104" s="14" t="n">
        <v>473</v>
      </c>
      <c r="G104" s="15" t="inlineStr">
        <is>
          <t>Cans  473 ml</t>
        </is>
      </c>
      <c r="H104" s="14" t="n">
        <v>6</v>
      </c>
      <c r="I104" s="16" t="n">
        <v>17.59</v>
      </c>
      <c r="J104" s="16" t="n">
        <v>18.29</v>
      </c>
      <c r="K104" s="16" t="n">
        <v>0.7</v>
      </c>
      <c r="L104" s="1">
        <f>IF(F104&gt;355,"TC",LEFT(E104,1))</f>
        <v/>
      </c>
      <c r="M104" s="1">
        <f>IF(K104&gt;0,"+","-")</f>
        <v/>
      </c>
      <c r="N104">
        <f>PROPER($D104)&amp;" "&amp;$H104&amp;$L104&amp;" "&amp;$M104&amp;"$"&amp;ABS($K104)&amp;" to $"&amp;$J104</f>
        <v/>
      </c>
      <c r="O104">
        <f>(J104/I104)*100</f>
        <v/>
      </c>
    </row>
    <row r="105" ht="15.5" customHeight="1">
      <c r="A105" s="14" t="n">
        <v>1208130</v>
      </c>
      <c r="B105" s="15" t="inlineStr">
        <is>
          <t>TBS - Retail Price</t>
        </is>
      </c>
      <c r="C105" s="15" t="inlineStr">
        <is>
          <t>BUDEJOVCIKY BUDVAR N.P.</t>
        </is>
      </c>
      <c r="D105" s="15" t="inlineStr">
        <is>
          <t>CZECHVAR</t>
        </is>
      </c>
      <c r="E105" s="14" t="inlineStr">
        <is>
          <t>Cans</t>
        </is>
      </c>
      <c r="F105" s="14" t="n">
        <v>500</v>
      </c>
      <c r="G105" s="15" t="inlineStr">
        <is>
          <t>Cans  500 ml</t>
        </is>
      </c>
      <c r="H105" s="14" t="n">
        <v>24</v>
      </c>
      <c r="I105" s="16" t="n">
        <v>53.58</v>
      </c>
      <c r="J105" s="16" t="n">
        <v>54.47</v>
      </c>
      <c r="K105" s="16" t="n">
        <v>0.89</v>
      </c>
      <c r="L105" s="1">
        <f>IF(F105&gt;355,"TC",LEFT(E105,1))</f>
        <v/>
      </c>
      <c r="M105" s="1">
        <f>IF(K105&gt;0,"+","-")</f>
        <v/>
      </c>
      <c r="N105">
        <f>PROPER($D105)&amp;" "&amp;$H105&amp;$L105&amp;" "&amp;$M105&amp;"$"&amp;ABS($K105)&amp;" to $"&amp;$J105</f>
        <v/>
      </c>
      <c r="O105">
        <f>(J105/I105)*100</f>
        <v/>
      </c>
    </row>
    <row r="106" ht="15.5" customHeight="1">
      <c r="A106" s="14" t="n">
        <v>1617172</v>
      </c>
      <c r="B106" s="15" t="inlineStr">
        <is>
          <t>TBS - Retail Price</t>
        </is>
      </c>
      <c r="C106" s="15" t="inlineStr">
        <is>
          <t>MOOSEHEAD BREWERIES LIMITED</t>
        </is>
      </c>
      <c r="D106" s="15" t="inlineStr">
        <is>
          <t>JAMES READY 5.5</t>
        </is>
      </c>
      <c r="E106" s="14" t="inlineStr">
        <is>
          <t>Cans</t>
        </is>
      </c>
      <c r="F106" s="14" t="n">
        <v>355</v>
      </c>
      <c r="G106" s="15" t="inlineStr">
        <is>
          <t>Cans  355 ml</t>
        </is>
      </c>
      <c r="H106" s="14" t="n">
        <v>30</v>
      </c>
      <c r="I106" s="16" t="n">
        <v>43.49</v>
      </c>
      <c r="J106" s="16" t="n">
        <v>44.49</v>
      </c>
      <c r="K106" s="16" t="n">
        <v>1</v>
      </c>
      <c r="L106" s="1">
        <f>IF(F106&gt;355,"TC",LEFT(E106,1))</f>
        <v/>
      </c>
      <c r="M106" s="1">
        <f>IF(K106&gt;0,"+","-")</f>
        <v/>
      </c>
      <c r="N106">
        <f>PROPER($D106)&amp;" "&amp;$H106&amp;$L106&amp;" "&amp;$M106&amp;"$"&amp;ABS($K106)&amp;" to $"&amp;$J106</f>
        <v/>
      </c>
      <c r="O106">
        <f>(J106/I106)*100</f>
        <v/>
      </c>
    </row>
    <row r="107" ht="15.5" customHeight="1">
      <c r="A107" s="14" t="n">
        <v>3878038</v>
      </c>
      <c r="B107" s="15" t="inlineStr">
        <is>
          <t>TBS - Retail Price</t>
        </is>
      </c>
      <c r="C107" s="15" t="inlineStr">
        <is>
          <t>MUSKOKA COTTAGE BREWERY INC</t>
        </is>
      </c>
      <c r="D107" s="15" t="inlineStr">
        <is>
          <t>MUSKOKA SURVIVAL MIX</t>
        </is>
      </c>
      <c r="E107" s="14" t="inlineStr">
        <is>
          <t>Cans</t>
        </is>
      </c>
      <c r="F107" s="14" t="n">
        <v>473</v>
      </c>
      <c r="G107" s="15" t="inlineStr">
        <is>
          <t>Cans  473 ml</t>
        </is>
      </c>
      <c r="H107" s="14" t="n">
        <v>6</v>
      </c>
      <c r="I107" s="16" t="n">
        <v>17.89</v>
      </c>
      <c r="J107" s="16" t="n">
        <v>18.89</v>
      </c>
      <c r="K107" s="16" t="n">
        <v>1</v>
      </c>
      <c r="L107" s="1">
        <f>IF(F107&gt;355,"TC",LEFT(E107,1))</f>
        <v/>
      </c>
      <c r="M107" s="1">
        <f>IF(K107&gt;0,"+","-")</f>
        <v/>
      </c>
      <c r="N107">
        <f>PROPER($D107)&amp;" "&amp;$H107&amp;$L107&amp;" "&amp;$M107&amp;"$"&amp;ABS($K107)&amp;" to $"&amp;$J107</f>
        <v/>
      </c>
      <c r="O107">
        <f>(J107/I107)*100</f>
        <v/>
      </c>
    </row>
    <row r="108" ht="15.5" customHeight="1">
      <c r="A108" s="14" t="n">
        <v>3718038</v>
      </c>
      <c r="B108" s="15" t="inlineStr">
        <is>
          <t>TBS - Retail Price</t>
        </is>
      </c>
      <c r="C108" s="15" t="inlineStr">
        <is>
          <t>MUSKOKA COTTAGE BREWERY INC</t>
        </is>
      </c>
      <c r="D108" s="15" t="inlineStr">
        <is>
          <t>MUSKOKA SURVL MIX 24</t>
        </is>
      </c>
      <c r="E108" s="14" t="inlineStr">
        <is>
          <t>Cans</t>
        </is>
      </c>
      <c r="F108" s="14" t="n">
        <v>473</v>
      </c>
      <c r="G108" s="15" t="inlineStr">
        <is>
          <t>Cans  473 ml</t>
        </is>
      </c>
      <c r="H108" s="14" t="n">
        <v>6</v>
      </c>
      <c r="I108" s="16" t="n">
        <v>17.89</v>
      </c>
      <c r="J108" s="16" t="n">
        <v>18.89</v>
      </c>
      <c r="K108" s="16" t="n">
        <v>1</v>
      </c>
      <c r="L108" s="1">
        <f>IF(F108&gt;355,"TC",LEFT(E108,1))</f>
        <v/>
      </c>
      <c r="M108" s="1">
        <f>IF(K108&gt;0,"+","-")</f>
        <v/>
      </c>
      <c r="N108">
        <f>PROPER($D108)&amp;" "&amp;$H108&amp;$L108&amp;" "&amp;$M108&amp;"$"&amp;ABS($K108)&amp;" to $"&amp;$J108</f>
        <v/>
      </c>
      <c r="O108">
        <f>(J108/I108)*100</f>
        <v/>
      </c>
    </row>
    <row r="109" ht="15.5" customHeight="1">
      <c r="A109" s="14" t="n">
        <v>2662128</v>
      </c>
      <c r="B109" s="15" t="inlineStr">
        <is>
          <t>TBS - Retail Price</t>
        </is>
      </c>
      <c r="C109" s="15" t="inlineStr">
        <is>
          <t>PAULANER BRAUEREI GRUPPE</t>
        </is>
      </c>
      <c r="D109" s="15" t="inlineStr">
        <is>
          <t>PAULANER HELL MUNCH</t>
        </is>
      </c>
      <c r="E109" s="14" t="inlineStr">
        <is>
          <t>Cans</t>
        </is>
      </c>
      <c r="F109" s="14" t="n">
        <v>500</v>
      </c>
      <c r="G109" s="15" t="inlineStr">
        <is>
          <t>Cans  500 ml</t>
        </is>
      </c>
      <c r="H109" s="14" t="n">
        <v>4</v>
      </c>
      <c r="I109" s="16" t="n">
        <v>8.56</v>
      </c>
      <c r="J109" s="16" t="n">
        <v>9.56</v>
      </c>
      <c r="K109" s="16" t="n">
        <v>1</v>
      </c>
      <c r="L109" s="1">
        <f>IF(F109&gt;355,"TC",LEFT(E109,1))</f>
        <v/>
      </c>
      <c r="M109" s="1">
        <f>IF(K109&gt;0,"+","-")</f>
        <v/>
      </c>
      <c r="N109">
        <f>PROPER($D109)&amp;" "&amp;$H109&amp;$L109&amp;" "&amp;$M109&amp;"$"&amp;ABS($K109)&amp;" to $"&amp;$J109</f>
        <v/>
      </c>
      <c r="O109">
        <f>(J109/I109)*100</f>
        <v/>
      </c>
    </row>
    <row r="110" ht="15.5" customHeight="1">
      <c r="A110" s="14" t="n">
        <v>3261128</v>
      </c>
      <c r="B110" s="15" t="inlineStr">
        <is>
          <t>TBS - Retail Price</t>
        </is>
      </c>
      <c r="C110" s="15" t="inlineStr">
        <is>
          <t>PAULANER BRAUEREI GRUPPE</t>
        </is>
      </c>
      <c r="D110" s="15" t="inlineStr">
        <is>
          <t>PAULANER PILS</t>
        </is>
      </c>
      <c r="E110" s="14" t="inlineStr">
        <is>
          <t>Cans</t>
        </is>
      </c>
      <c r="F110" s="14" t="n">
        <v>500</v>
      </c>
      <c r="G110" s="15" t="inlineStr">
        <is>
          <t>Cans  500 ml</t>
        </is>
      </c>
      <c r="H110" s="14" t="n">
        <v>4</v>
      </c>
      <c r="I110" s="16" t="n">
        <v>9.49</v>
      </c>
      <c r="J110" s="16" t="n">
        <v>10.49</v>
      </c>
      <c r="K110" s="16" t="n">
        <v>1</v>
      </c>
      <c r="L110" s="1">
        <f>IF(F110&gt;355,"TC",LEFT(E110,1))</f>
        <v/>
      </c>
      <c r="M110" s="1">
        <f>IF(K110&gt;0,"+","-")</f>
        <v/>
      </c>
      <c r="N110">
        <f>PROPER($D110)&amp;" "&amp;$H110&amp;$L110&amp;" "&amp;$M110&amp;"$"&amp;ABS($K110)&amp;" to $"&amp;$J110</f>
        <v/>
      </c>
      <c r="O110">
        <f>(J110/I110)*100</f>
        <v/>
      </c>
    </row>
    <row r="111" ht="15.5" customHeight="1">
      <c r="A111" s="14" t="n">
        <v>1161128</v>
      </c>
      <c r="B111" s="15" t="inlineStr">
        <is>
          <t>TBS - Retail Price</t>
        </is>
      </c>
      <c r="C111" s="15" t="inlineStr">
        <is>
          <t>PAULANER BRAUEREI GRUPPE</t>
        </is>
      </c>
      <c r="D111" s="15" t="inlineStr">
        <is>
          <t>PAULANER WEISSBIER</t>
        </is>
      </c>
      <c r="E111" s="14" t="inlineStr">
        <is>
          <t>Cans</t>
        </is>
      </c>
      <c r="F111" s="14" t="n">
        <v>500</v>
      </c>
      <c r="G111" s="15" t="inlineStr">
        <is>
          <t>Cans  500 ml</t>
        </is>
      </c>
      <c r="H111" s="14" t="n">
        <v>4</v>
      </c>
      <c r="I111" s="16" t="n">
        <v>10.68</v>
      </c>
      <c r="J111" s="16" t="n">
        <v>11.68</v>
      </c>
      <c r="K111" s="16" t="n">
        <v>1</v>
      </c>
      <c r="L111" s="1">
        <f>IF(F111&gt;355,"TC",LEFT(E111,1))</f>
        <v/>
      </c>
      <c r="M111" s="1">
        <f>IF(K111&gt;0,"+","-")</f>
        <v/>
      </c>
      <c r="N111">
        <f>PROPER($D111)&amp;" "&amp;$H111&amp;$L111&amp;" "&amp;$M111&amp;"$"&amp;ABS($K111)&amp;" to $"&amp;$J111</f>
        <v/>
      </c>
      <c r="O111">
        <f>(J111/I111)*100</f>
        <v/>
      </c>
    </row>
    <row r="112" ht="15.5" customHeight="1">
      <c r="A112" s="14" t="n">
        <v>1497038</v>
      </c>
      <c r="B112" s="15" t="inlineStr">
        <is>
          <t>TBS - Retail Price</t>
        </is>
      </c>
      <c r="C112" s="15" t="inlineStr">
        <is>
          <t>SLEEMAN BREWERIES LTD</t>
        </is>
      </c>
      <c r="D112" s="15" t="inlineStr">
        <is>
          <t>PBR LIGHT</t>
        </is>
      </c>
      <c r="E112" s="14" t="inlineStr">
        <is>
          <t>Cans</t>
        </is>
      </c>
      <c r="F112" s="14" t="n">
        <v>473</v>
      </c>
      <c r="G112" s="15" t="inlineStr">
        <is>
          <t>Cans  473 ml</t>
        </is>
      </c>
      <c r="H112" s="14" t="n">
        <v>6</v>
      </c>
      <c r="I112" s="16" t="n">
        <v>10.99</v>
      </c>
      <c r="J112" s="16" t="n">
        <v>11.99</v>
      </c>
      <c r="K112" s="16" t="n">
        <v>1</v>
      </c>
      <c r="L112" s="1">
        <f>IF(F112&gt;355,"TC",LEFT(E112,1))</f>
        <v/>
      </c>
      <c r="M112" s="1">
        <f>IF(K112&gt;0,"+","-")</f>
        <v/>
      </c>
      <c r="N112">
        <f>PROPER($D112)&amp;" "&amp;$H112&amp;$L112&amp;" "&amp;$M112&amp;"$"&amp;ABS($K112)&amp;" to $"&amp;$J112</f>
        <v/>
      </c>
      <c r="O112">
        <f>(J112/I112)*100</f>
        <v/>
      </c>
    </row>
    <row r="113" ht="15.5" customHeight="1">
      <c r="A113" s="14" t="n">
        <v>3849030</v>
      </c>
      <c r="B113" s="15" t="inlineStr">
        <is>
          <t>TBS - Retail Price</t>
        </is>
      </c>
      <c r="C113" s="15" t="inlineStr">
        <is>
          <t>SLEEMAN BREWERIES LTD</t>
        </is>
      </c>
      <c r="D113" s="15" t="inlineStr">
        <is>
          <t>SAPPORO 0.0%</t>
        </is>
      </c>
      <c r="E113" s="14" t="inlineStr">
        <is>
          <t>Cans</t>
        </is>
      </c>
      <c r="F113" s="14" t="n">
        <v>355</v>
      </c>
      <c r="G113" s="15" t="inlineStr">
        <is>
          <t>Cans  355 ml</t>
        </is>
      </c>
      <c r="H113" s="14" t="n">
        <v>6</v>
      </c>
      <c r="I113" s="16" t="n">
        <v>11.29</v>
      </c>
      <c r="J113" s="16" t="n">
        <v>12.29</v>
      </c>
      <c r="K113" s="16" t="n">
        <v>1</v>
      </c>
      <c r="L113" s="1">
        <f>IF(F113&gt;355,"TC",LEFT(E113,1))</f>
        <v/>
      </c>
      <c r="M113" s="1">
        <f>IF(K113&gt;0,"+","-")</f>
        <v/>
      </c>
      <c r="N113">
        <f>PROPER($D113)&amp;" "&amp;$H113&amp;$L113&amp;" "&amp;$M113&amp;"$"&amp;ABS($K113)&amp;" to $"&amp;$J113</f>
        <v/>
      </c>
      <c r="O113">
        <f>(J113/I113)*100</f>
        <v/>
      </c>
    </row>
    <row r="114" ht="15.5" customHeight="1">
      <c r="A114" s="14" t="n">
        <v>1065033</v>
      </c>
      <c r="B114" s="15" t="inlineStr">
        <is>
          <t>TBS - Licensee</t>
        </is>
      </c>
      <c r="C114" s="15" t="inlineStr">
        <is>
          <t>STEAM WHISTLE BREWING INC</t>
        </is>
      </c>
      <c r="D114" s="15" t="inlineStr">
        <is>
          <t>STEAM WHISTLE</t>
        </is>
      </c>
      <c r="E114" s="14" t="inlineStr">
        <is>
          <t>Cans</t>
        </is>
      </c>
      <c r="F114" s="14" t="n">
        <v>355</v>
      </c>
      <c r="G114" s="15" t="inlineStr">
        <is>
          <t>Cans  355 ml</t>
        </is>
      </c>
      <c r="H114" s="14" t="n">
        <v>24</v>
      </c>
      <c r="I114" s="16" t="n">
        <v>50.99</v>
      </c>
      <c r="J114" s="16" t="n">
        <v>51.99</v>
      </c>
      <c r="K114" s="16" t="n">
        <v>1</v>
      </c>
      <c r="L114" s="1">
        <f>IF(F114&gt;355,"TC",LEFT(E114,1))</f>
        <v/>
      </c>
      <c r="M114" s="1">
        <f>IF(K114&gt;0,"+","-")</f>
        <v/>
      </c>
      <c r="N114">
        <f>PROPER($D114)&amp;" "&amp;$H114&amp;$L114&amp;" "&amp;$M114&amp;"$"&amp;ABS($K114)&amp;" to $"&amp;$J114</f>
        <v/>
      </c>
      <c r="O114">
        <f>(J114/I114)*100</f>
        <v/>
      </c>
    </row>
    <row r="115" ht="15.5" customHeight="1">
      <c r="A115" s="14" t="n">
        <v>1167128</v>
      </c>
      <c r="B115" s="15" t="inlineStr">
        <is>
          <t>TBS - Retail Price</t>
        </is>
      </c>
      <c r="C115" s="15" t="inlineStr">
        <is>
          <t>SWINKELS FAMILY BREWERS EXPORT B.V.</t>
        </is>
      </c>
      <c r="D115" s="15" t="inlineStr">
        <is>
          <t>BAVARIA 8.6</t>
        </is>
      </c>
      <c r="E115" s="14" t="inlineStr">
        <is>
          <t>Cans</t>
        </is>
      </c>
      <c r="F115" s="14" t="n">
        <v>500</v>
      </c>
      <c r="G115" s="15" t="inlineStr">
        <is>
          <t>Cans  500 ml</t>
        </is>
      </c>
      <c r="H115" s="14" t="n">
        <v>4</v>
      </c>
      <c r="I115" s="16" t="n">
        <v>11.39</v>
      </c>
      <c r="J115" s="16" t="n">
        <v>12.39</v>
      </c>
      <c r="K115" s="16" t="n">
        <v>1</v>
      </c>
      <c r="L115" s="1">
        <f>IF(F115&gt;355,"TC",LEFT(E115,1))</f>
        <v/>
      </c>
      <c r="M115" s="1">
        <f>IF(K115&gt;0,"+","-")</f>
        <v/>
      </c>
      <c r="N115">
        <f>PROPER($D115)&amp;" "&amp;$H115&amp;$L115&amp;" "&amp;$M115&amp;"$"&amp;ABS($K115)&amp;" to $"&amp;$J115</f>
        <v/>
      </c>
      <c r="O115">
        <f>(J115/I115)*100</f>
        <v/>
      </c>
    </row>
    <row r="116" ht="15.5" customHeight="1">
      <c r="A116" s="14" t="n">
        <v>1497041</v>
      </c>
      <c r="B116" s="15" t="inlineStr">
        <is>
          <t>TBS - Retail Price</t>
        </is>
      </c>
      <c r="C116" s="15" t="inlineStr">
        <is>
          <t>SLEEMAN BREWERIES LTD</t>
        </is>
      </c>
      <c r="D116" s="15" t="inlineStr">
        <is>
          <t>PBR LIGHT</t>
        </is>
      </c>
      <c r="E116" s="14" t="inlineStr">
        <is>
          <t>Cans</t>
        </is>
      </c>
      <c r="F116" s="14" t="n">
        <v>473</v>
      </c>
      <c r="G116" s="15" t="inlineStr">
        <is>
          <t>Cans  473 ml</t>
        </is>
      </c>
      <c r="H116" s="14" t="n">
        <v>24</v>
      </c>
      <c r="I116" s="16" t="n">
        <v>43.96</v>
      </c>
      <c r="J116" s="16" t="n">
        <v>44.99</v>
      </c>
      <c r="K116" s="16" t="n">
        <v>1.03</v>
      </c>
      <c r="L116" s="1">
        <f>IF(F116&gt;355,"TC",LEFT(E116,1))</f>
        <v/>
      </c>
      <c r="M116" s="1">
        <f>IF(K116&gt;0,"+","-")</f>
        <v/>
      </c>
      <c r="N116">
        <f>PROPER($D116)&amp;" "&amp;$H116&amp;$L116&amp;" "&amp;$M116&amp;"$"&amp;ABS($K116)&amp;" to $"&amp;$J116</f>
        <v/>
      </c>
      <c r="O116">
        <f>(J116/I116)*100</f>
        <v/>
      </c>
    </row>
    <row r="117" ht="15.5" customHeight="1">
      <c r="A117" s="14" t="n">
        <v>1060041</v>
      </c>
      <c r="B117" s="15" t="inlineStr">
        <is>
          <t>TBS - Retail Price</t>
        </is>
      </c>
      <c r="C117" s="15" t="inlineStr">
        <is>
          <t>MOLSON COORS BEVERAGE COMPANY</t>
        </is>
      </c>
      <c r="D117" s="15" t="inlineStr">
        <is>
          <t>COORS LIGHT</t>
        </is>
      </c>
      <c r="E117" s="14" t="inlineStr">
        <is>
          <t>Cans</t>
        </is>
      </c>
      <c r="F117" s="14" t="n">
        <v>473</v>
      </c>
      <c r="G117" s="15" t="inlineStr">
        <is>
          <t>Cans  473 ml</t>
        </is>
      </c>
      <c r="H117" s="14" t="n">
        <v>24</v>
      </c>
      <c r="I117" s="16" t="n">
        <v>51.89</v>
      </c>
      <c r="J117" s="16" t="n">
        <v>52.99</v>
      </c>
      <c r="K117" s="16" t="n">
        <v>1.1</v>
      </c>
      <c r="L117" s="1">
        <f>IF(F117&gt;355,"TC",LEFT(E117,1))</f>
        <v/>
      </c>
      <c r="M117" s="1">
        <f>IF(K117&gt;0,"+","-")</f>
        <v/>
      </c>
      <c r="N117">
        <f>PROPER($D117)&amp;" "&amp;$H117&amp;$L117&amp;" "&amp;$M117&amp;"$"&amp;ABS($K117)&amp;" to $"&amp;$J117</f>
        <v/>
      </c>
      <c r="O117">
        <f>(J117/I117)*100</f>
        <v/>
      </c>
    </row>
    <row r="118" ht="15.5" customHeight="1">
      <c r="A118" s="14" t="n">
        <v>1595038</v>
      </c>
      <c r="B118" s="15" t="inlineStr">
        <is>
          <t>TBS - Retail Price</t>
        </is>
      </c>
      <c r="C118" s="15" t="inlineStr">
        <is>
          <t>MUSKOKA COTTAGE BREWERY INC</t>
        </is>
      </c>
      <c r="D118" s="15" t="inlineStr">
        <is>
          <t>MAD TOM IPA</t>
        </is>
      </c>
      <c r="E118" s="14" t="inlineStr">
        <is>
          <t>Cans</t>
        </is>
      </c>
      <c r="F118" s="14" t="n">
        <v>473</v>
      </c>
      <c r="G118" s="15" t="inlineStr">
        <is>
          <t>Cans  473 ml</t>
        </is>
      </c>
      <c r="H118" s="14" t="n">
        <v>6</v>
      </c>
      <c r="I118" s="16" t="n">
        <v>18.14</v>
      </c>
      <c r="J118" s="16" t="n">
        <v>19.39</v>
      </c>
      <c r="K118" s="16" t="n">
        <v>1.25</v>
      </c>
      <c r="L118" s="1">
        <f>IF(F118&gt;355,"TC",LEFT(E118,1))</f>
        <v/>
      </c>
      <c r="M118" s="1">
        <f>IF(K118&gt;0,"+","-")</f>
        <v/>
      </c>
      <c r="N118">
        <f>PROPER($D118)&amp;" "&amp;$H118&amp;$L118&amp;" "&amp;$M118&amp;"$"&amp;ABS($K118)&amp;" to $"&amp;$J118</f>
        <v/>
      </c>
      <c r="O118">
        <f>(J118/I118)*100</f>
        <v/>
      </c>
    </row>
    <row r="119" ht="15.5" customHeight="1">
      <c r="A119" s="14" t="n">
        <v>1416038</v>
      </c>
      <c r="B119" s="15" t="inlineStr">
        <is>
          <t>TBS - Retail Price</t>
        </is>
      </c>
      <c r="C119" s="15" t="inlineStr">
        <is>
          <t>CARLSBERG CANADA INC</t>
        </is>
      </c>
      <c r="D119" s="15" t="inlineStr">
        <is>
          <t>LANDSHARK LAGER</t>
        </is>
      </c>
      <c r="E119" s="14" t="inlineStr">
        <is>
          <t>Cans</t>
        </is>
      </c>
      <c r="F119" s="14" t="n">
        <v>473</v>
      </c>
      <c r="G119" s="15" t="inlineStr">
        <is>
          <t>Cans  473 ml</t>
        </is>
      </c>
      <c r="H119" s="14" t="n">
        <v>6</v>
      </c>
      <c r="I119" s="16" t="n">
        <v>13.49</v>
      </c>
      <c r="J119" s="16" t="n">
        <v>14.84</v>
      </c>
      <c r="K119" s="16" t="n">
        <v>1.35</v>
      </c>
      <c r="L119" s="1">
        <f>IF(F119&gt;355,"TC",LEFT(E119,1))</f>
        <v/>
      </c>
      <c r="M119" s="1">
        <f>IF(K119&gt;0,"+","-")</f>
        <v/>
      </c>
      <c r="N119">
        <f>PROPER($D119)&amp;" "&amp;$H119&amp;$L119&amp;" "&amp;$M119&amp;"$"&amp;ABS($K119)&amp;" to $"&amp;$J119</f>
        <v/>
      </c>
      <c r="O119">
        <f>(J119/I119)*100</f>
        <v/>
      </c>
    </row>
    <row r="120" ht="15.5" customHeight="1">
      <c r="A120" s="14" t="n">
        <v>1425038</v>
      </c>
      <c r="B120" s="15" t="inlineStr">
        <is>
          <t>TBS - Retail Price</t>
        </is>
      </c>
      <c r="C120" s="15" t="inlineStr">
        <is>
          <t>CARLSBERG CANADA INC</t>
        </is>
      </c>
      <c r="D120" s="15" t="inlineStr">
        <is>
          <t>LAKER LIGHT</t>
        </is>
      </c>
      <c r="E120" s="14" t="inlineStr">
        <is>
          <t>Cans</t>
        </is>
      </c>
      <c r="F120" s="14" t="n">
        <v>473</v>
      </c>
      <c r="G120" s="15" t="inlineStr">
        <is>
          <t>Cans  473 ml</t>
        </is>
      </c>
      <c r="H120" s="14" t="n">
        <v>6</v>
      </c>
      <c r="I120" s="16" t="n">
        <v>9.99</v>
      </c>
      <c r="J120" s="16" t="n">
        <v>11.39</v>
      </c>
      <c r="K120" s="16" t="n">
        <v>1.4</v>
      </c>
      <c r="L120" s="1">
        <f>IF(F120&gt;355,"TC",LEFT(E120,1))</f>
        <v/>
      </c>
      <c r="M120" s="1">
        <f>IF(K120&gt;0,"+","-")</f>
        <v/>
      </c>
      <c r="N120">
        <f>PROPER($D120)&amp;" "&amp;$H120&amp;$L120&amp;" "&amp;$M120&amp;"$"&amp;ABS($K120)&amp;" to $"&amp;$J120</f>
        <v/>
      </c>
      <c r="O120">
        <f>(J120/I120)*100</f>
        <v/>
      </c>
    </row>
    <row r="121" ht="15.5" customHeight="1">
      <c r="A121" s="14" t="n">
        <v>1035042</v>
      </c>
      <c r="B121" s="15" t="inlineStr">
        <is>
          <t>TBS - Retail Price</t>
        </is>
      </c>
      <c r="C121" s="15" t="inlineStr">
        <is>
          <t>LABATT BREWERIES OF CANADA LP</t>
        </is>
      </c>
      <c r="D121" s="15" t="inlineStr">
        <is>
          <t>BUDWEISER</t>
        </is>
      </c>
      <c r="E121" s="14" t="inlineStr">
        <is>
          <t>Cans</t>
        </is>
      </c>
      <c r="F121" s="14" t="n">
        <v>473</v>
      </c>
      <c r="G121" s="15" t="inlineStr">
        <is>
          <t>Cans  473 ml</t>
        </is>
      </c>
      <c r="H121" s="14" t="n">
        <v>12</v>
      </c>
      <c r="I121" s="16" t="n">
        <v>26.49</v>
      </c>
      <c r="J121" s="16" t="n">
        <v>27.99</v>
      </c>
      <c r="K121" s="16" t="n">
        <v>1.5</v>
      </c>
      <c r="L121" s="1">
        <f>IF(F121&gt;355,"TC",LEFT(E121,1))</f>
        <v/>
      </c>
      <c r="M121" s="1">
        <f>IF(K121&gt;0,"+","-")</f>
        <v/>
      </c>
      <c r="N121">
        <f>PROPER($D121)&amp;" "&amp;$H121&amp;$L121&amp;" "&amp;$M121&amp;"$"&amp;ABS($K121)&amp;" to $"&amp;$J121</f>
        <v/>
      </c>
      <c r="O121">
        <f>(J121/I121)*100</f>
        <v/>
      </c>
    </row>
    <row r="122" ht="15.5" customHeight="1">
      <c r="A122" s="14" t="n">
        <v>2597354</v>
      </c>
      <c r="B122" s="15" t="inlineStr">
        <is>
          <t>TBS - Retail Price</t>
        </is>
      </c>
      <c r="C122" s="15" t="inlineStr">
        <is>
          <t>LABATT BREWERIES OF CANADA LP</t>
        </is>
      </c>
      <c r="D122" s="15" t="inlineStr">
        <is>
          <t>CORONA</t>
        </is>
      </c>
      <c r="E122" s="14" t="inlineStr">
        <is>
          <t>Bottles</t>
        </is>
      </c>
      <c r="F122" s="14" t="n">
        <v>330</v>
      </c>
      <c r="G122" s="15" t="inlineStr">
        <is>
          <t>Bottles  330 ml</t>
        </is>
      </c>
      <c r="H122" s="14" t="n">
        <v>12</v>
      </c>
      <c r="I122" s="16" t="n">
        <v>26.69</v>
      </c>
      <c r="J122" s="16" t="n">
        <v>28.19</v>
      </c>
      <c r="K122" s="16" t="n">
        <v>1.5</v>
      </c>
      <c r="L122" s="1">
        <f>IF(F122&gt;355,"TC",LEFT(E122,1))</f>
        <v/>
      </c>
      <c r="M122" s="1">
        <f>IF(K122&gt;0,"+","-")</f>
        <v/>
      </c>
      <c r="N122">
        <f>PROPER($D122)&amp;" "&amp;$H122&amp;$L122&amp;" "&amp;$M122&amp;"$"&amp;ABS($K122)&amp;" to $"&amp;$J122</f>
        <v/>
      </c>
      <c r="O122">
        <f>(J122/I122)*100</f>
        <v/>
      </c>
    </row>
    <row r="123" ht="15.5" customHeight="1">
      <c r="A123" s="14" t="n">
        <v>1497042</v>
      </c>
      <c r="B123" s="15" t="inlineStr">
        <is>
          <t>TBS - Retail Price</t>
        </is>
      </c>
      <c r="C123" s="15" t="inlineStr">
        <is>
          <t>SLEEMAN BREWERIES LTD</t>
        </is>
      </c>
      <c r="D123" s="15" t="inlineStr">
        <is>
          <t>PBR LIGHT</t>
        </is>
      </c>
      <c r="E123" s="14" t="inlineStr">
        <is>
          <t>Cans</t>
        </is>
      </c>
      <c r="F123" s="14" t="n">
        <v>473</v>
      </c>
      <c r="G123" s="15" t="inlineStr">
        <is>
          <t>Cans  473 ml</t>
        </is>
      </c>
      <c r="H123" s="14" t="n">
        <v>12</v>
      </c>
      <c r="I123" s="16" t="n">
        <v>21.98</v>
      </c>
      <c r="J123" s="16" t="n">
        <v>23.49</v>
      </c>
      <c r="K123" s="16" t="n">
        <v>1.51</v>
      </c>
      <c r="L123" s="1">
        <f>IF(F123&gt;355,"TC",LEFT(E123,1))</f>
        <v/>
      </c>
      <c r="M123" s="1">
        <f>IF(K123&gt;0,"+","-")</f>
        <v/>
      </c>
      <c r="N123">
        <f>PROPER($D123)&amp;" "&amp;$H123&amp;$L123&amp;" "&amp;$M123&amp;"$"&amp;ABS($K123)&amp;" to $"&amp;$J123</f>
        <v/>
      </c>
      <c r="O123">
        <f>(J123/I123)*100</f>
        <v/>
      </c>
    </row>
    <row r="124" ht="15.5" customHeight="1">
      <c r="A124" s="14" t="n">
        <v>3879156</v>
      </c>
      <c r="B124" s="15" t="inlineStr">
        <is>
          <t>TBS - Retail Price</t>
        </is>
      </c>
      <c r="C124" s="15" t="inlineStr">
        <is>
          <t>FARMERS CREED CORP</t>
        </is>
      </c>
      <c r="D124" s="15" t="inlineStr">
        <is>
          <t>GONE FISHIN LIGHT</t>
        </is>
      </c>
      <c r="E124" s="14" t="inlineStr">
        <is>
          <t>Cans</t>
        </is>
      </c>
      <c r="F124" s="14" t="n">
        <v>473</v>
      </c>
      <c r="G124" s="15" t="inlineStr">
        <is>
          <t>Cans  473 ml</t>
        </is>
      </c>
      <c r="H124" s="14" t="n">
        <v>8</v>
      </c>
      <c r="I124" s="16" t="n">
        <v>18.99</v>
      </c>
      <c r="J124" s="16" t="n">
        <v>20.99</v>
      </c>
      <c r="K124" s="16" t="n">
        <v>2</v>
      </c>
      <c r="L124" s="1">
        <f>IF(F124&gt;355,"TC",LEFT(E124,1))</f>
        <v/>
      </c>
      <c r="M124" s="1">
        <f>IF(K124&gt;0,"+","-")</f>
        <v/>
      </c>
      <c r="N124">
        <f>PROPER($D124)&amp;" "&amp;$H124&amp;$L124&amp;" "&amp;$M124&amp;"$"&amp;ABS($K124)&amp;" to $"&amp;$J124</f>
        <v/>
      </c>
      <c r="O124">
        <f>(J124/I124)*100</f>
        <v/>
      </c>
    </row>
    <row r="125" ht="15.5" customHeight="1">
      <c r="A125" s="14" t="n">
        <v>3154156</v>
      </c>
      <c r="B125" s="15" t="inlineStr">
        <is>
          <t>TBS - Retail Price</t>
        </is>
      </c>
      <c r="C125" s="15" t="inlineStr">
        <is>
          <t>FARMERS CREED CORP</t>
        </is>
      </c>
      <c r="D125" s="15" t="inlineStr">
        <is>
          <t>LONGHORN LAGER</t>
        </is>
      </c>
      <c r="E125" s="14" t="inlineStr">
        <is>
          <t>Cans</t>
        </is>
      </c>
      <c r="F125" s="14" t="n">
        <v>473</v>
      </c>
      <c r="G125" s="15" t="inlineStr">
        <is>
          <t>Cans  473 ml</t>
        </is>
      </c>
      <c r="H125" s="14" t="n">
        <v>8</v>
      </c>
      <c r="I125" s="16" t="n">
        <v>19.99</v>
      </c>
      <c r="J125" s="16" t="n">
        <v>21.99</v>
      </c>
      <c r="K125" s="16" t="n">
        <v>2</v>
      </c>
      <c r="L125" s="1">
        <f>IF(F125&gt;355,"TC",LEFT(E125,1))</f>
        <v/>
      </c>
      <c r="M125" s="1">
        <f>IF(K125&gt;0,"+","-")</f>
        <v/>
      </c>
      <c r="N125">
        <f>PROPER($D125)&amp;" "&amp;$H125&amp;$L125&amp;" "&amp;$M125&amp;"$"&amp;ABS($K125)&amp;" to $"&amp;$J125</f>
        <v/>
      </c>
      <c r="O125">
        <f>(J125/I125)*100</f>
        <v/>
      </c>
    </row>
    <row r="126" ht="15.5" customHeight="1">
      <c r="A126" s="14" t="n">
        <v>3715156</v>
      </c>
      <c r="B126" s="15" t="inlineStr">
        <is>
          <t>TBS - Retail Price</t>
        </is>
      </c>
      <c r="C126" s="15" t="inlineStr">
        <is>
          <t>FARMERS CREED CORP</t>
        </is>
      </c>
      <c r="D126" s="15" t="inlineStr">
        <is>
          <t>ROUGH STOCK IPA</t>
        </is>
      </c>
      <c r="E126" s="14" t="inlineStr">
        <is>
          <t>Cans</t>
        </is>
      </c>
      <c r="F126" s="14" t="n">
        <v>473</v>
      </c>
      <c r="G126" s="15" t="inlineStr">
        <is>
          <t>Cans  473 ml</t>
        </is>
      </c>
      <c r="H126" s="14" t="n">
        <v>8</v>
      </c>
      <c r="I126" s="16" t="n">
        <v>21.99</v>
      </c>
      <c r="J126" s="16" t="n">
        <v>23.99</v>
      </c>
      <c r="K126" s="16" t="n">
        <v>2</v>
      </c>
      <c r="L126" s="1">
        <f>IF(F126&gt;355,"TC",LEFT(E126,1))</f>
        <v/>
      </c>
      <c r="M126" s="1">
        <f>IF(K126&gt;0,"+","-")</f>
        <v/>
      </c>
      <c r="N126">
        <f>PROPER($D126)&amp;" "&amp;$H126&amp;$L126&amp;" "&amp;$M126&amp;"$"&amp;ABS($K126)&amp;" to $"&amp;$J126</f>
        <v/>
      </c>
      <c r="O126">
        <f>(J126/I126)*100</f>
        <v/>
      </c>
    </row>
    <row r="127" ht="15.5" customHeight="1">
      <c r="A127" s="14" t="n">
        <v>3916042</v>
      </c>
      <c r="B127" s="15" t="inlineStr">
        <is>
          <t>TBS - Retail Price</t>
        </is>
      </c>
      <c r="C127" s="15" t="inlineStr">
        <is>
          <t>LABATT BREWERIES OF CANADA LP</t>
        </is>
      </c>
      <c r="D127" s="15" t="inlineStr">
        <is>
          <t>BUD LIGHT LEMON LIME</t>
        </is>
      </c>
      <c r="E127" s="14" t="inlineStr">
        <is>
          <t>Cans</t>
        </is>
      </c>
      <c r="F127" s="14" t="n">
        <v>473</v>
      </c>
      <c r="G127" s="15" t="inlineStr">
        <is>
          <t>Cans  473 ml</t>
        </is>
      </c>
      <c r="H127" s="14" t="n">
        <v>12</v>
      </c>
      <c r="I127" s="16" t="n">
        <v>27.99</v>
      </c>
      <c r="J127" s="16" t="n">
        <v>29.99</v>
      </c>
      <c r="K127" s="16" t="n">
        <v>2</v>
      </c>
      <c r="L127" s="1">
        <f>IF(F127&gt;355,"TC",LEFT(E127,1))</f>
        <v/>
      </c>
      <c r="M127" s="1">
        <f>IF(K127&gt;0,"+","-")</f>
        <v/>
      </c>
      <c r="N127">
        <f>PROPER($D127)&amp;" "&amp;$H127&amp;$L127&amp;" "&amp;$M127&amp;"$"&amp;ABS($K127)&amp;" to $"&amp;$J127</f>
        <v/>
      </c>
      <c r="O127">
        <f>(J127/I127)*100</f>
        <v/>
      </c>
    </row>
    <row r="128" ht="15.5" customHeight="1">
      <c r="A128" s="14" t="n">
        <v>3919031</v>
      </c>
      <c r="B128" s="15" t="inlineStr">
        <is>
          <t>TBS - Retail Price</t>
        </is>
      </c>
      <c r="C128" s="15" t="inlineStr">
        <is>
          <t>LABATT BREWERIES OF CANADA LP</t>
        </is>
      </c>
      <c r="D128" s="15" t="inlineStr">
        <is>
          <t>BUD LIGHT LIME TIME</t>
        </is>
      </c>
      <c r="E128" s="14" t="inlineStr">
        <is>
          <t>Cans</t>
        </is>
      </c>
      <c r="F128" s="14" t="n">
        <v>355</v>
      </c>
      <c r="G128" s="15" t="inlineStr">
        <is>
          <t>Cans  355 ml</t>
        </is>
      </c>
      <c r="H128" s="14" t="n">
        <v>12</v>
      </c>
      <c r="I128" s="16" t="n">
        <v>23.49</v>
      </c>
      <c r="J128" s="16" t="n">
        <v>25.49</v>
      </c>
      <c r="K128" s="16" t="n">
        <v>2</v>
      </c>
      <c r="L128" s="1">
        <f>IF(F128&gt;355,"TC",LEFT(E128,1))</f>
        <v/>
      </c>
      <c r="M128" s="1">
        <f>IF(K128&gt;0,"+","-")</f>
        <v/>
      </c>
      <c r="N128">
        <f>PROPER($D128)&amp;" "&amp;$H128&amp;$L128&amp;" "&amp;$M128&amp;"$"&amp;ABS($K128)&amp;" to $"&amp;$J128</f>
        <v/>
      </c>
      <c r="O128">
        <f>(J128/I128)*100</f>
        <v/>
      </c>
    </row>
    <row r="129" ht="15.5" customHeight="1">
      <c r="A129" s="14" t="n">
        <v>3915042</v>
      </c>
      <c r="B129" s="15" t="inlineStr">
        <is>
          <t>TBS - Retail Price</t>
        </is>
      </c>
      <c r="C129" s="15" t="inlineStr">
        <is>
          <t>LABATT BREWERIES OF CANADA LP</t>
        </is>
      </c>
      <c r="D129" s="15" t="inlineStr">
        <is>
          <t>MIKES HALFER LEM&amp;LAG</t>
        </is>
      </c>
      <c r="E129" s="14" t="inlineStr">
        <is>
          <t>Cans</t>
        </is>
      </c>
      <c r="F129" s="14" t="n">
        <v>473</v>
      </c>
      <c r="G129" s="15" t="inlineStr">
        <is>
          <t>Cans  473 ml</t>
        </is>
      </c>
      <c r="H129" s="14" t="n">
        <v>12</v>
      </c>
      <c r="I129" s="16" t="n">
        <v>28.79</v>
      </c>
      <c r="J129" s="16" t="n">
        <v>30.79</v>
      </c>
      <c r="K129" s="16" t="n">
        <v>2</v>
      </c>
      <c r="L129" s="1">
        <f>IF(F129&gt;355,"TC",LEFT(E129,1))</f>
        <v/>
      </c>
      <c r="M129" s="1">
        <f>IF(K129&gt;0,"+","-")</f>
        <v/>
      </c>
      <c r="N129">
        <f>PROPER($D129)&amp;" "&amp;$H129&amp;$L129&amp;" "&amp;$M129&amp;"$"&amp;ABS($K129)&amp;" to $"&amp;$J129</f>
        <v/>
      </c>
      <c r="O129">
        <f>(J129/I129)*100</f>
        <v/>
      </c>
    </row>
    <row r="130" ht="15.5" customHeight="1">
      <c r="A130" s="14" t="n">
        <v>3168031</v>
      </c>
      <c r="B130" s="15" t="inlineStr">
        <is>
          <t>TBS - Retail Price</t>
        </is>
      </c>
      <c r="C130" s="15" t="inlineStr">
        <is>
          <t>MOLSON COORS BEVERAGE COMPANY</t>
        </is>
      </c>
      <c r="D130" s="15" t="inlineStr">
        <is>
          <t>ARIZONA HARD VARIETY</t>
        </is>
      </c>
      <c r="E130" s="14" t="inlineStr">
        <is>
          <t>Cans</t>
        </is>
      </c>
      <c r="F130" s="14" t="n">
        <v>355</v>
      </c>
      <c r="G130" s="15" t="inlineStr">
        <is>
          <t>Cans  355 ml</t>
        </is>
      </c>
      <c r="H130" s="14" t="n">
        <v>12</v>
      </c>
      <c r="I130" s="16" t="n">
        <v>24.99</v>
      </c>
      <c r="J130" s="16" t="n">
        <v>26.99</v>
      </c>
      <c r="K130" s="16" t="n">
        <v>2</v>
      </c>
      <c r="L130" s="1">
        <f>IF(F130&gt;355,"TC",LEFT(E130,1))</f>
        <v/>
      </c>
      <c r="M130" s="1">
        <f>IF(K130&gt;0,"+","-")</f>
        <v/>
      </c>
      <c r="N130">
        <f>PROPER($D130)&amp;" "&amp;$H130&amp;$L130&amp;" "&amp;$M130&amp;"$"&amp;ABS($K130)&amp;" to $"&amp;$J130</f>
        <v/>
      </c>
      <c r="O130">
        <f>(J130/I130)*100</f>
        <v/>
      </c>
    </row>
    <row r="131" ht="15.5" customHeight="1">
      <c r="A131" s="14" t="n">
        <v>1060042</v>
      </c>
      <c r="B131" s="15" t="inlineStr">
        <is>
          <t>TBS - Retail Price</t>
        </is>
      </c>
      <c r="C131" s="15" t="inlineStr">
        <is>
          <t>MOLSON COORS BEVERAGE COMPANY</t>
        </is>
      </c>
      <c r="D131" s="15" t="inlineStr">
        <is>
          <t>COORS LIGHT</t>
        </is>
      </c>
      <c r="E131" s="14" t="inlineStr">
        <is>
          <t>Cans</t>
        </is>
      </c>
      <c r="F131" s="14" t="n">
        <v>473</v>
      </c>
      <c r="G131" s="15" t="inlineStr">
        <is>
          <t>Cans  473 ml</t>
        </is>
      </c>
      <c r="H131" s="14" t="n">
        <v>12</v>
      </c>
      <c r="I131" s="16" t="n">
        <v>25.99</v>
      </c>
      <c r="J131" s="16" t="n">
        <v>27.99</v>
      </c>
      <c r="K131" s="16" t="n">
        <v>2</v>
      </c>
      <c r="L131" s="1">
        <f>IF(F131&gt;355,"TC",LEFT(E131,1))</f>
        <v/>
      </c>
      <c r="M131" s="1">
        <f>IF(K131&gt;0,"+","-")</f>
        <v/>
      </c>
      <c r="N131">
        <f>PROPER($D131)&amp;" "&amp;$H131&amp;$L131&amp;" "&amp;$M131&amp;"$"&amp;ABS($K131)&amp;" to $"&amp;$J131</f>
        <v/>
      </c>
      <c r="O131">
        <f>(J131/I131)*100</f>
        <v/>
      </c>
    </row>
    <row r="132" ht="15.5" customHeight="1">
      <c r="A132" s="14" t="n">
        <v>2341042</v>
      </c>
      <c r="B132" s="15" t="inlineStr">
        <is>
          <t>TBS - Retail Price</t>
        </is>
      </c>
      <c r="C132" s="15" t="inlineStr">
        <is>
          <t>MOLSON COORS BEVERAGE COMPANY</t>
        </is>
      </c>
      <c r="D132" s="15" t="inlineStr">
        <is>
          <t>COORS ORIGINAL</t>
        </is>
      </c>
      <c r="E132" s="14" t="inlineStr">
        <is>
          <t>Cans</t>
        </is>
      </c>
      <c r="F132" s="14" t="n">
        <v>473</v>
      </c>
      <c r="G132" s="15" t="inlineStr">
        <is>
          <t>Cans  473 ml</t>
        </is>
      </c>
      <c r="H132" s="14" t="n">
        <v>12</v>
      </c>
      <c r="I132" s="16" t="n">
        <v>26.99</v>
      </c>
      <c r="J132" s="16" t="n">
        <v>28.99</v>
      </c>
      <c r="K132" s="16" t="n">
        <v>2</v>
      </c>
      <c r="L132" s="1">
        <f>IF(F132&gt;355,"TC",LEFT(E132,1))</f>
        <v/>
      </c>
      <c r="M132" s="1">
        <f>IF(K132&gt;0,"+","-")</f>
        <v/>
      </c>
      <c r="N132">
        <f>PROPER($D132)&amp;" "&amp;$H132&amp;$L132&amp;" "&amp;$M132&amp;"$"&amp;ABS($K132)&amp;" to $"&amp;$J132</f>
        <v/>
      </c>
      <c r="O132">
        <f>(J132/I132)*100</f>
        <v/>
      </c>
    </row>
    <row r="133" ht="15.5" customHeight="1">
      <c r="A133" s="14" t="n">
        <v>3867427</v>
      </c>
      <c r="B133" s="15" t="inlineStr">
        <is>
          <t>TBS - Retail Price</t>
        </is>
      </c>
      <c r="C133" s="15" t="inlineStr">
        <is>
          <t>MOLSON COORS BEVERAGE COMPANY</t>
        </is>
      </c>
      <c r="D133" s="15" t="inlineStr">
        <is>
          <t>COORS SELT MIXABLES</t>
        </is>
      </c>
      <c r="E133" s="14" t="inlineStr">
        <is>
          <t>Cans</t>
        </is>
      </c>
      <c r="F133" s="14" t="n">
        <v>355</v>
      </c>
      <c r="G133" s="15" t="inlineStr">
        <is>
          <t>Cans  355 ml</t>
        </is>
      </c>
      <c r="H133" s="14" t="n">
        <v>12</v>
      </c>
      <c r="I133" s="16" t="n">
        <v>23.99</v>
      </c>
      <c r="J133" s="16" t="n">
        <v>25.99</v>
      </c>
      <c r="K133" s="16" t="n">
        <v>2</v>
      </c>
      <c r="L133" s="1">
        <f>IF(F133&gt;355,"TC",LEFT(E133,1))</f>
        <v/>
      </c>
      <c r="M133" s="1">
        <f>IF(K133&gt;0,"+","-")</f>
        <v/>
      </c>
      <c r="N133">
        <f>PROPER($D133)&amp;" "&amp;$H133&amp;$L133&amp;" "&amp;$M133&amp;"$"&amp;ABS($K133)&amp;" to $"&amp;$J133</f>
        <v/>
      </c>
      <c r="O133">
        <f>(J133/I133)*100</f>
        <v/>
      </c>
    </row>
    <row r="134" ht="15.5" customHeight="1">
      <c r="A134" s="14" t="n">
        <v>1465042</v>
      </c>
      <c r="B134" s="15" t="inlineStr">
        <is>
          <t>TBS - Retail Price</t>
        </is>
      </c>
      <c r="C134" s="15" t="inlineStr">
        <is>
          <t>MOLSON COORS BEVERAGE COMPANY</t>
        </is>
      </c>
      <c r="D134" s="15" t="inlineStr">
        <is>
          <t>CREEMORE LAGER</t>
        </is>
      </c>
      <c r="E134" s="14" t="inlineStr">
        <is>
          <t>Cans</t>
        </is>
      </c>
      <c r="F134" s="14" t="n">
        <v>473</v>
      </c>
      <c r="G134" s="15" t="inlineStr">
        <is>
          <t>Cans  473 ml</t>
        </is>
      </c>
      <c r="H134" s="14" t="n">
        <v>12</v>
      </c>
      <c r="I134" s="16" t="n">
        <v>31.99</v>
      </c>
      <c r="J134" s="16" t="n">
        <v>33.99</v>
      </c>
      <c r="K134" s="16" t="n">
        <v>2</v>
      </c>
      <c r="L134" s="1">
        <f>IF(F134&gt;355,"TC",LEFT(E134,1))</f>
        <v/>
      </c>
      <c r="M134" s="1">
        <f>IF(K134&gt;0,"+","-")</f>
        <v/>
      </c>
      <c r="N134">
        <f>PROPER($D134)&amp;" "&amp;$H134&amp;$L134&amp;" "&amp;$M134&amp;"$"&amp;ABS($K134)&amp;" to $"&amp;$J134</f>
        <v/>
      </c>
      <c r="O134">
        <f>(J134/I134)*100</f>
        <v/>
      </c>
    </row>
    <row r="135" ht="15.5" customHeight="1">
      <c r="A135" s="14" t="n">
        <v>3870427</v>
      </c>
      <c r="B135" s="15" t="inlineStr">
        <is>
          <t>TBS - Retail Price</t>
        </is>
      </c>
      <c r="C135" s="15" t="inlineStr">
        <is>
          <t>MOLSON COORS BEVERAGE COMPANY</t>
        </is>
      </c>
      <c r="D135" s="15" t="inlineStr">
        <is>
          <t>SIMPLY LIMEADE</t>
        </is>
      </c>
      <c r="E135" s="14" t="inlineStr">
        <is>
          <t>Cans</t>
        </is>
      </c>
      <c r="F135" s="14" t="n">
        <v>355</v>
      </c>
      <c r="G135" s="15" t="inlineStr">
        <is>
          <t>Cans  355 ml</t>
        </is>
      </c>
      <c r="H135" s="14" t="n">
        <v>12</v>
      </c>
      <c r="I135" s="16" t="n">
        <v>24.99</v>
      </c>
      <c r="J135" s="16" t="n">
        <v>26.99</v>
      </c>
      <c r="K135" s="16" t="n">
        <v>2</v>
      </c>
      <c r="L135" s="1">
        <f>IF(F135&gt;355,"TC",LEFT(E135,1))</f>
        <v/>
      </c>
      <c r="M135" s="1">
        <f>IF(K135&gt;0,"+","-")</f>
        <v/>
      </c>
      <c r="N135">
        <f>PROPER($D135)&amp;" "&amp;$H135&amp;$L135&amp;" "&amp;$M135&amp;"$"&amp;ABS($K135)&amp;" to $"&amp;$J135</f>
        <v/>
      </c>
      <c r="O135">
        <f>(J135/I135)*100</f>
        <v/>
      </c>
    </row>
    <row r="136" ht="15.5" customHeight="1">
      <c r="A136" s="14" t="n">
        <v>3866427</v>
      </c>
      <c r="B136" s="15" t="inlineStr">
        <is>
          <t>TBS - Retail Price</t>
        </is>
      </c>
      <c r="C136" s="15" t="inlineStr">
        <is>
          <t>MOLSON COORS BEVERAGE COMPANY</t>
        </is>
      </c>
      <c r="D136" s="15" t="inlineStr">
        <is>
          <t>VIZZY CREAM POP VP</t>
        </is>
      </c>
      <c r="E136" s="14" t="inlineStr">
        <is>
          <t>Cans</t>
        </is>
      </c>
      <c r="F136" s="14" t="n">
        <v>355</v>
      </c>
      <c r="G136" s="15" t="inlineStr">
        <is>
          <t>Cans  355 ml</t>
        </is>
      </c>
      <c r="H136" s="14" t="n">
        <v>12</v>
      </c>
      <c r="I136" s="16" t="n">
        <v>24.99</v>
      </c>
      <c r="J136" s="16" t="n">
        <v>26.99</v>
      </c>
      <c r="K136" s="16" t="n">
        <v>2</v>
      </c>
      <c r="L136" s="1">
        <f>IF(F136&gt;355,"TC",LEFT(E136,1))</f>
        <v/>
      </c>
      <c r="M136" s="1">
        <f>IF(K136&gt;0,"+","-")</f>
        <v/>
      </c>
      <c r="N136">
        <f>PROPER($D136)&amp;" "&amp;$H136&amp;$L136&amp;" "&amp;$M136&amp;"$"&amp;ABS($K136)&amp;" to $"&amp;$J136</f>
        <v/>
      </c>
      <c r="O136">
        <f>(J136/I136)*100</f>
        <v/>
      </c>
    </row>
    <row r="137" ht="15.5" customHeight="1">
      <c r="A137" s="14" t="n">
        <v>1628224</v>
      </c>
      <c r="B137" s="15" t="inlineStr">
        <is>
          <t>TBS - Retail Price</t>
        </is>
      </c>
      <c r="C137" s="15" t="inlineStr">
        <is>
          <t>MOOSEHEAD BREWERIES LIMITED</t>
        </is>
      </c>
      <c r="D137" s="15" t="inlineStr">
        <is>
          <t>MOOSEHEAD LAGER</t>
        </is>
      </c>
      <c r="E137" s="14" t="inlineStr">
        <is>
          <t>Cans</t>
        </is>
      </c>
      <c r="F137" s="14" t="n">
        <v>355</v>
      </c>
      <c r="G137" s="15" t="inlineStr">
        <is>
          <t>Cans  355 ml</t>
        </is>
      </c>
      <c r="H137" s="14" t="n">
        <v>60</v>
      </c>
      <c r="I137" s="16" t="n">
        <v>95.98999999999999</v>
      </c>
      <c r="J137" s="16" t="n">
        <v>97.98999999999999</v>
      </c>
      <c r="K137" s="16" t="n">
        <v>2</v>
      </c>
      <c r="L137" s="1">
        <f>IF(F137&gt;355,"TC",LEFT(E137,1))</f>
        <v/>
      </c>
      <c r="M137" s="1">
        <f>IF(K137&gt;0,"+","-")</f>
        <v/>
      </c>
      <c r="N137">
        <f>PROPER($D137)&amp;" "&amp;$H137&amp;$L137&amp;" "&amp;$M137&amp;"$"&amp;ABS($K137)&amp;" to $"&amp;$J137</f>
        <v/>
      </c>
      <c r="O137">
        <f>(J137/I137)*100</f>
        <v/>
      </c>
    </row>
    <row r="138" ht="15.5" customHeight="1">
      <c r="A138" s="14" t="n">
        <v>3839028</v>
      </c>
      <c r="B138" s="15" t="inlineStr">
        <is>
          <t>TBS - Licensee</t>
        </is>
      </c>
      <c r="C138" s="15" t="inlineStr">
        <is>
          <t>BEAU'S ALL NATURAL BREWING CO LTD</t>
        </is>
      </c>
      <c r="D138" s="15" t="inlineStr">
        <is>
          <t>BARNBURNER AMBER ALE</t>
        </is>
      </c>
      <c r="E138" s="14" t="inlineStr">
        <is>
          <t>Keg</t>
        </is>
      </c>
      <c r="F138" s="14" t="n">
        <v>30000</v>
      </c>
      <c r="G138" s="15" t="inlineStr">
        <is>
          <t>30 L  Keg</t>
        </is>
      </c>
      <c r="H138" s="14" t="n">
        <v>1</v>
      </c>
      <c r="I138" s="16" t="n">
        <v>151.28</v>
      </c>
      <c r="J138" s="16" t="n">
        <v>153.5</v>
      </c>
      <c r="K138" s="16" t="n">
        <v>2.22</v>
      </c>
      <c r="L138" s="1">
        <f>IF(F138&gt;355,"TC",LEFT(E138,1))</f>
        <v/>
      </c>
      <c r="M138" s="1">
        <f>IF(K138&gt;0,"+","-")</f>
        <v/>
      </c>
      <c r="N138">
        <f>PROPER($D138)&amp;" "&amp;$H138&amp;$L138&amp;" "&amp;$M138&amp;"$"&amp;ABS($K138)&amp;" to $"&amp;$J138</f>
        <v/>
      </c>
      <c r="O138">
        <f>(J138/I138)*100</f>
        <v/>
      </c>
    </row>
    <row r="139" ht="15.5" customHeight="1">
      <c r="A139" s="14" t="n">
        <v>3839028</v>
      </c>
      <c r="B139" s="15" t="inlineStr">
        <is>
          <t>TBS - Retail Price</t>
        </is>
      </c>
      <c r="C139" s="15" t="inlineStr">
        <is>
          <t>BEAU'S ALL NATURAL BREWING CO LTD</t>
        </is>
      </c>
      <c r="D139" s="15" t="inlineStr">
        <is>
          <t>BARNBURNER AMBER ALE</t>
        </is>
      </c>
      <c r="E139" s="14" t="inlineStr">
        <is>
          <t>Keg</t>
        </is>
      </c>
      <c r="F139" s="14" t="n">
        <v>30000</v>
      </c>
      <c r="G139" s="15" t="inlineStr">
        <is>
          <t>30 L  Keg</t>
        </is>
      </c>
      <c r="H139" s="14" t="n">
        <v>1</v>
      </c>
      <c r="I139" s="16" t="n">
        <v>151.28</v>
      </c>
      <c r="J139" s="16" t="n">
        <v>153.5</v>
      </c>
      <c r="K139" s="16" t="n">
        <v>2.22</v>
      </c>
      <c r="L139" s="1">
        <f>IF(F139&gt;355,"TC",LEFT(E139,1))</f>
        <v/>
      </c>
      <c r="M139" s="1">
        <f>IF(K139&gt;0,"+","-")</f>
        <v/>
      </c>
      <c r="N139">
        <f>PROPER($D139)&amp;" "&amp;$H139&amp;$L139&amp;" "&amp;$M139&amp;"$"&amp;ABS($K139)&amp;" to $"&amp;$J139</f>
        <v/>
      </c>
      <c r="O139">
        <f>(J139/I139)*100</f>
        <v/>
      </c>
    </row>
    <row r="140" ht="15.5" customHeight="1">
      <c r="A140" s="14" t="n">
        <v>1879172</v>
      </c>
      <c r="B140" s="15" t="inlineStr">
        <is>
          <t>TBS - Retail Price</t>
        </is>
      </c>
      <c r="C140" s="15" t="inlineStr">
        <is>
          <t>MOLSON COORS BEVERAGE COMPANY</t>
        </is>
      </c>
      <c r="D140" s="15" t="inlineStr">
        <is>
          <t>MILLER HIGH LIFE</t>
        </is>
      </c>
      <c r="E140" s="14" t="inlineStr">
        <is>
          <t>Cans</t>
        </is>
      </c>
      <c r="F140" s="14" t="n">
        <v>355</v>
      </c>
      <c r="G140" s="15" t="inlineStr">
        <is>
          <t>Cans  355 ml</t>
        </is>
      </c>
      <c r="H140" s="14" t="n">
        <v>30</v>
      </c>
      <c r="I140" s="16" t="n">
        <v>45.49</v>
      </c>
      <c r="J140" s="16" t="n">
        <v>47.99</v>
      </c>
      <c r="K140" s="16" t="n">
        <v>2.5</v>
      </c>
      <c r="L140" s="1">
        <f>IF(F140&gt;355,"TC",LEFT(E140,1))</f>
        <v/>
      </c>
      <c r="M140" s="1">
        <f>IF(K140&gt;0,"+","-")</f>
        <v/>
      </c>
      <c r="N140">
        <f>PROPER($D140)&amp;" "&amp;$H140&amp;$L140&amp;" "&amp;$M140&amp;"$"&amp;ABS($K140)&amp;" to $"&amp;$J140</f>
        <v/>
      </c>
      <c r="O140">
        <f>(J140/I140)*100</f>
        <v/>
      </c>
    </row>
    <row r="141" ht="15.5" customHeight="1">
      <c r="A141" s="14" t="n">
        <v>1879042</v>
      </c>
      <c r="B141" s="15" t="inlineStr">
        <is>
          <t>TBS - Retail Price</t>
        </is>
      </c>
      <c r="C141" s="15" t="inlineStr">
        <is>
          <t>MOLSON COORS BEVERAGE COMPANY</t>
        </is>
      </c>
      <c r="D141" s="15" t="inlineStr">
        <is>
          <t>MILLER HIGH LIFE</t>
        </is>
      </c>
      <c r="E141" s="14" t="inlineStr">
        <is>
          <t>Cans</t>
        </is>
      </c>
      <c r="F141" s="14" t="n">
        <v>473</v>
      </c>
      <c r="G141" s="15" t="inlineStr">
        <is>
          <t>Cans  473 ml</t>
        </is>
      </c>
      <c r="H141" s="14" t="n">
        <v>12</v>
      </c>
      <c r="I141" s="16" t="n">
        <v>20.99</v>
      </c>
      <c r="J141" s="16" t="n">
        <v>23.49</v>
      </c>
      <c r="K141" s="16" t="n">
        <v>2.5</v>
      </c>
      <c r="L141" s="1">
        <f>IF(F141&gt;355,"TC",LEFT(E141,1))</f>
        <v/>
      </c>
      <c r="M141" s="1">
        <f>IF(K141&gt;0,"+","-")</f>
        <v/>
      </c>
      <c r="N141">
        <f>PROPER($D141)&amp;" "&amp;$H141&amp;$L141&amp;" "&amp;$M141&amp;"$"&amp;ABS($K141)&amp;" to $"&amp;$J141</f>
        <v/>
      </c>
      <c r="O141">
        <f>(J141/I141)*100</f>
        <v/>
      </c>
    </row>
    <row r="142" ht="15.5" customHeight="1">
      <c r="A142" s="14" t="n">
        <v>3458038</v>
      </c>
      <c r="B142" s="15" t="inlineStr">
        <is>
          <t>TBS - Retail Price</t>
        </is>
      </c>
      <c r="C142" s="15" t="inlineStr">
        <is>
          <t>STOCKYARDS BEVERAGE COMPANY INC.</t>
        </is>
      </c>
      <c r="D142" s="15" t="inlineStr">
        <is>
          <t>STOCKYARDS LAGER MIX</t>
        </is>
      </c>
      <c r="E142" s="14" t="inlineStr">
        <is>
          <t>Cans</t>
        </is>
      </c>
      <c r="F142" s="14" t="n">
        <v>473</v>
      </c>
      <c r="G142" s="15" t="inlineStr">
        <is>
          <t>Cans  473 ml</t>
        </is>
      </c>
      <c r="H142" s="14" t="n">
        <v>6</v>
      </c>
      <c r="I142" s="16" t="n">
        <v>17.12</v>
      </c>
      <c r="J142" s="16" t="n">
        <v>19.78</v>
      </c>
      <c r="K142" s="16" t="n">
        <v>2.66</v>
      </c>
      <c r="L142" s="1">
        <f>IF(F142&gt;355,"TC",LEFT(E142,1))</f>
        <v/>
      </c>
      <c r="M142" s="1">
        <f>IF(K142&gt;0,"+","-")</f>
        <v/>
      </c>
      <c r="N142">
        <f>PROPER($D142)&amp;" "&amp;$H142&amp;$L142&amp;" "&amp;$M142&amp;"$"&amp;ABS($K142)&amp;" to $"&amp;$J142</f>
        <v/>
      </c>
      <c r="O142">
        <f>(J142/I142)*100</f>
        <v/>
      </c>
    </row>
    <row r="143" ht="15.5" customHeight="1">
      <c r="A143" s="14" t="n">
        <v>1709041</v>
      </c>
      <c r="B143" s="15" t="inlineStr">
        <is>
          <t>TBS - Retail Price</t>
        </is>
      </c>
      <c r="C143" s="15" t="inlineStr">
        <is>
          <t>BEAU'S ALL NATURAL BREWING CO LTD</t>
        </is>
      </c>
      <c r="D143" s="15" t="inlineStr">
        <is>
          <t>BEAU'S LUG TREAD</t>
        </is>
      </c>
      <c r="E143" s="14" t="inlineStr">
        <is>
          <t>Cans</t>
        </is>
      </c>
      <c r="F143" s="14" t="n">
        <v>473</v>
      </c>
      <c r="G143" s="15" t="inlineStr">
        <is>
          <t>Cans  473 ml</t>
        </is>
      </c>
      <c r="H143" s="14" t="n">
        <v>24</v>
      </c>
      <c r="I143" s="16" t="n">
        <v>60.99</v>
      </c>
      <c r="J143" s="16" t="n">
        <v>63.99</v>
      </c>
      <c r="K143" s="16" t="n">
        <v>3</v>
      </c>
      <c r="L143" s="1">
        <f>IF(F143&gt;355,"TC",LEFT(E143,1))</f>
        <v/>
      </c>
      <c r="M143" s="1">
        <f>IF(K143&gt;0,"+","-")</f>
        <v/>
      </c>
      <c r="N143">
        <f>PROPER($D143)&amp;" "&amp;$H143&amp;$L143&amp;" "&amp;$M143&amp;"$"&amp;ABS($K143)&amp;" to $"&amp;$J143</f>
        <v/>
      </c>
      <c r="O143">
        <f>(J143/I143)*100</f>
        <v/>
      </c>
    </row>
    <row r="144" ht="15.5" customHeight="1">
      <c r="A144" s="14" t="n">
        <v>2597033</v>
      </c>
      <c r="B144" s="15" t="inlineStr">
        <is>
          <t>TBS - Retail Price</t>
        </is>
      </c>
      <c r="C144" s="15" t="inlineStr">
        <is>
          <t>LABATT BREWERIES OF CANADA LP</t>
        </is>
      </c>
      <c r="D144" s="15" t="inlineStr">
        <is>
          <t>CORONA</t>
        </is>
      </c>
      <c r="E144" s="14" t="inlineStr">
        <is>
          <t>Cans</t>
        </is>
      </c>
      <c r="F144" s="14" t="n">
        <v>355</v>
      </c>
      <c r="G144" s="15" t="inlineStr">
        <is>
          <t>Cans  355 ml</t>
        </is>
      </c>
      <c r="H144" s="14" t="n">
        <v>24</v>
      </c>
      <c r="I144" s="16" t="n">
        <v>47.69</v>
      </c>
      <c r="J144" s="16" t="n">
        <v>50.69</v>
      </c>
      <c r="K144" s="16" t="n">
        <v>3</v>
      </c>
      <c r="L144" s="1">
        <f>IF(F144&gt;355,"TC",LEFT(E144,1))</f>
        <v/>
      </c>
      <c r="M144" s="1">
        <f>IF(K144&gt;0,"+","-")</f>
        <v/>
      </c>
      <c r="N144">
        <f>PROPER($D144)&amp;" "&amp;$H144&amp;$L144&amp;" "&amp;$M144&amp;"$"&amp;ABS($K144)&amp;" to $"&amp;$J144</f>
        <v/>
      </c>
      <c r="O144">
        <f>(J144/I144)*100</f>
        <v/>
      </c>
    </row>
    <row r="145" ht="15.5" customHeight="1">
      <c r="A145" s="14" t="n">
        <v>1629041</v>
      </c>
      <c r="B145" s="15" t="inlineStr">
        <is>
          <t>TBS - Retail Price</t>
        </is>
      </c>
      <c r="C145" s="15" t="inlineStr">
        <is>
          <t>MOOSEHEAD BREWERIES LIMITED</t>
        </is>
      </c>
      <c r="D145" s="15" t="inlineStr">
        <is>
          <t>CRACKED CANOE</t>
        </is>
      </c>
      <c r="E145" s="14" t="inlineStr">
        <is>
          <t>Cans</t>
        </is>
      </c>
      <c r="F145" s="14" t="n">
        <v>473</v>
      </c>
      <c r="G145" s="15" t="inlineStr">
        <is>
          <t>Cans  473 ml</t>
        </is>
      </c>
      <c r="H145" s="14" t="n">
        <v>24</v>
      </c>
      <c r="I145" s="16" t="n">
        <v>49.99</v>
      </c>
      <c r="J145" s="16" t="n">
        <v>52.99</v>
      </c>
      <c r="K145" s="16" t="n">
        <v>3</v>
      </c>
      <c r="L145" s="1">
        <f>IF(F145&gt;355,"TC",LEFT(E145,1))</f>
        <v/>
      </c>
      <c r="M145" s="1">
        <f>IF(K145&gt;0,"+","-")</f>
        <v/>
      </c>
      <c r="N145">
        <f>PROPER($D145)&amp;" "&amp;$H145&amp;$L145&amp;" "&amp;$M145&amp;"$"&amp;ABS($K145)&amp;" to $"&amp;$J145</f>
        <v/>
      </c>
      <c r="O145">
        <f>(J145/I145)*100</f>
        <v/>
      </c>
    </row>
    <row r="146" ht="15.5" customHeight="1">
      <c r="A146" s="14" t="n">
        <v>1628041</v>
      </c>
      <c r="B146" s="15" t="inlineStr">
        <is>
          <t>TBS - Retail Price</t>
        </is>
      </c>
      <c r="C146" s="15" t="inlineStr">
        <is>
          <t>MOOSEHEAD BREWERIES LIMITED</t>
        </is>
      </c>
      <c r="D146" s="15" t="inlineStr">
        <is>
          <t>MOOSEHEAD LAGER</t>
        </is>
      </c>
      <c r="E146" s="14" t="inlineStr">
        <is>
          <t>Cans</t>
        </is>
      </c>
      <c r="F146" s="14" t="n">
        <v>473</v>
      </c>
      <c r="G146" s="15" t="inlineStr">
        <is>
          <t>Cans  473 ml</t>
        </is>
      </c>
      <c r="H146" s="14" t="n">
        <v>24</v>
      </c>
      <c r="I146" s="16" t="n">
        <v>49.99</v>
      </c>
      <c r="J146" s="16" t="n">
        <v>52.99</v>
      </c>
      <c r="K146" s="16" t="n">
        <v>3</v>
      </c>
      <c r="L146" s="1">
        <f>IF(F146&gt;355,"TC",LEFT(E146,1))</f>
        <v/>
      </c>
      <c r="M146" s="1">
        <f>IF(K146&gt;0,"+","-")</f>
        <v/>
      </c>
      <c r="N146">
        <f>PROPER($D146)&amp;" "&amp;$H146&amp;$L146&amp;" "&amp;$M146&amp;"$"&amp;ABS($K146)&amp;" to $"&amp;$J146</f>
        <v/>
      </c>
      <c r="O146">
        <f>(J146/I146)*100</f>
        <v/>
      </c>
    </row>
    <row r="147" ht="15.5" customHeight="1">
      <c r="A147" s="14" t="n">
        <v>1489033</v>
      </c>
      <c r="B147" s="15" t="inlineStr">
        <is>
          <t>TBS - Retail Price</t>
        </is>
      </c>
      <c r="C147" s="15" t="inlineStr">
        <is>
          <t>SLEEMAN BREWERIES LTD</t>
        </is>
      </c>
      <c r="D147" s="15" t="inlineStr">
        <is>
          <t>SAPPORO</t>
        </is>
      </c>
      <c r="E147" s="14" t="inlineStr">
        <is>
          <t>Cans</t>
        </is>
      </c>
      <c r="F147" s="14" t="n">
        <v>355</v>
      </c>
      <c r="G147" s="15" t="inlineStr">
        <is>
          <t>Cans  355 ml</t>
        </is>
      </c>
      <c r="H147" s="14" t="n">
        <v>24</v>
      </c>
      <c r="I147" s="16" t="n">
        <v>47.69</v>
      </c>
      <c r="J147" s="16" t="n">
        <v>50.69</v>
      </c>
      <c r="K147" s="16" t="n">
        <v>3</v>
      </c>
      <c r="L147" s="1">
        <f>IF(F147&gt;355,"TC",LEFT(E147,1))</f>
        <v/>
      </c>
      <c r="M147" s="1">
        <f>IF(K147&gt;0,"+","-")</f>
        <v/>
      </c>
      <c r="N147">
        <f>PROPER($D147)&amp;" "&amp;$H147&amp;$L147&amp;" "&amp;$M147&amp;"$"&amp;ABS($K147)&amp;" to $"&amp;$J147</f>
        <v/>
      </c>
      <c r="O147">
        <f>(J147/I147)*100</f>
        <v/>
      </c>
    </row>
    <row r="148" ht="15.5" customHeight="1">
      <c r="A148" s="14" t="n">
        <v>1879041</v>
      </c>
      <c r="B148" s="15" t="inlineStr">
        <is>
          <t>TBS - Retail Price</t>
        </is>
      </c>
      <c r="C148" s="15" t="inlineStr">
        <is>
          <t>MOLSON COORS BEVERAGE COMPANY</t>
        </is>
      </c>
      <c r="D148" s="15" t="inlineStr">
        <is>
          <t>MILLER HIGH LIFE</t>
        </is>
      </c>
      <c r="E148" s="14" t="inlineStr">
        <is>
          <t>Cans</t>
        </is>
      </c>
      <c r="F148" s="14" t="n">
        <v>473</v>
      </c>
      <c r="G148" s="15" t="inlineStr">
        <is>
          <t>Cans  473 ml</t>
        </is>
      </c>
      <c r="H148" s="14" t="n">
        <v>24</v>
      </c>
      <c r="I148" s="16" t="n">
        <v>41.89</v>
      </c>
      <c r="J148" s="16" t="n">
        <v>44.99</v>
      </c>
      <c r="K148" s="16" t="n">
        <v>3.1</v>
      </c>
      <c r="L148" s="1">
        <f>IF(F148&gt;355,"TC",LEFT(E148,1))</f>
        <v/>
      </c>
      <c r="M148" s="1">
        <f>IF(K148&gt;0,"+","-")</f>
        <v/>
      </c>
      <c r="N148">
        <f>PROPER($D148)&amp;" "&amp;$H148&amp;$L148&amp;" "&amp;$M148&amp;"$"&amp;ABS($K148)&amp;" to $"&amp;$J148</f>
        <v/>
      </c>
      <c r="O148">
        <f>(J148/I148)*100</f>
        <v/>
      </c>
    </row>
    <row r="149" ht="15.5" customHeight="1">
      <c r="A149" s="14" t="n">
        <v>2109013</v>
      </c>
      <c r="B149" s="15" t="inlineStr">
        <is>
          <t>TBS - Retail Price</t>
        </is>
      </c>
      <c r="C149" s="15" t="inlineStr">
        <is>
          <t>ASAHI BREWERIES LTD</t>
        </is>
      </c>
      <c r="D149" s="15" t="inlineStr">
        <is>
          <t>ASAHI SUPER DRY</t>
        </is>
      </c>
      <c r="E149" s="14" t="inlineStr">
        <is>
          <t>Bottles</t>
        </is>
      </c>
      <c r="F149" s="14" t="n">
        <v>330</v>
      </c>
      <c r="G149" s="15" t="inlineStr">
        <is>
          <t>Bottles  330 ml</t>
        </is>
      </c>
      <c r="H149" s="14" t="n">
        <v>24</v>
      </c>
      <c r="I149" s="16" t="n">
        <v>45.29</v>
      </c>
      <c r="J149" s="16" t="n">
        <v>49.29</v>
      </c>
      <c r="K149" s="16" t="n">
        <v>4</v>
      </c>
      <c r="L149" s="1">
        <f>IF(F149&gt;355,"TC",LEFT(E149,1))</f>
        <v/>
      </c>
      <c r="M149" s="1">
        <f>IF(K149&gt;0,"+","-")</f>
        <v/>
      </c>
      <c r="N149">
        <f>PROPER($D149)&amp;" "&amp;$H149&amp;$L149&amp;" "&amp;$M149&amp;"$"&amp;ABS($K149)&amp;" to $"&amp;$J149</f>
        <v/>
      </c>
      <c r="O149">
        <f>(J149/I149)*100</f>
        <v/>
      </c>
    </row>
    <row r="150" ht="15.5" customHeight="1">
      <c r="A150" s="14" t="n">
        <v>1709033</v>
      </c>
      <c r="B150" s="15" t="inlineStr">
        <is>
          <t>TBS - Retail Price</t>
        </is>
      </c>
      <c r="C150" s="15" t="inlineStr">
        <is>
          <t>BEAU'S ALL NATURAL BREWING CO LTD</t>
        </is>
      </c>
      <c r="D150" s="15" t="inlineStr">
        <is>
          <t>BEAU'S LUG TREAD</t>
        </is>
      </c>
      <c r="E150" s="14" t="inlineStr">
        <is>
          <t>Cans</t>
        </is>
      </c>
      <c r="F150" s="14" t="n">
        <v>355</v>
      </c>
      <c r="G150" s="15" t="inlineStr">
        <is>
          <t>Cans  355 ml</t>
        </is>
      </c>
      <c r="H150" s="14" t="n">
        <v>24</v>
      </c>
      <c r="I150" s="16" t="n">
        <v>45.99</v>
      </c>
      <c r="J150" s="16" t="n">
        <v>49.99</v>
      </c>
      <c r="K150" s="16" t="n">
        <v>4</v>
      </c>
      <c r="L150" s="1">
        <f>IF(F150&gt;355,"TC",LEFT(E150,1))</f>
        <v/>
      </c>
      <c r="M150" s="1">
        <f>IF(K150&gt;0,"+","-")</f>
        <v/>
      </c>
      <c r="N150">
        <f>PROPER($D150)&amp;" "&amp;$H150&amp;$L150&amp;" "&amp;$M150&amp;"$"&amp;ABS($K150)&amp;" to $"&amp;$J150</f>
        <v/>
      </c>
      <c r="O150">
        <f>(J150/I150)*100</f>
        <v/>
      </c>
    </row>
    <row r="151" ht="15.5" customHeight="1">
      <c r="A151" s="14" t="n">
        <v>3915041</v>
      </c>
      <c r="B151" s="15" t="inlineStr">
        <is>
          <t>TBS - Retail Price</t>
        </is>
      </c>
      <c r="C151" s="15" t="inlineStr">
        <is>
          <t>LABATT BREWERIES OF CANADA LP</t>
        </is>
      </c>
      <c r="D151" s="15" t="inlineStr">
        <is>
          <t>MIKES HALFER LEM&amp;LAG</t>
        </is>
      </c>
      <c r="E151" s="14" t="inlineStr">
        <is>
          <t>Cans</t>
        </is>
      </c>
      <c r="F151" s="14" t="n">
        <v>473</v>
      </c>
      <c r="G151" s="15" t="inlineStr">
        <is>
          <t>Cans  473 ml</t>
        </is>
      </c>
      <c r="H151" s="14" t="n">
        <v>24</v>
      </c>
      <c r="I151" s="16" t="n">
        <v>53.99</v>
      </c>
      <c r="J151" s="16" t="n">
        <v>57.99</v>
      </c>
      <c r="K151" s="16" t="n">
        <v>4</v>
      </c>
      <c r="L151" s="1">
        <f>IF(F151&gt;355,"TC",LEFT(E151,1))</f>
        <v/>
      </c>
      <c r="M151" s="1">
        <f>IF(K151&gt;0,"+","-")</f>
        <v/>
      </c>
      <c r="N151">
        <f>PROPER($D151)&amp;" "&amp;$H151&amp;$L151&amp;" "&amp;$M151&amp;"$"&amp;ABS($K151)&amp;" to $"&amp;$J151</f>
        <v/>
      </c>
      <c r="O151">
        <f>(J151/I151)*100</f>
        <v/>
      </c>
    </row>
    <row r="152" ht="15.5" customHeight="1">
      <c r="A152" s="14" t="n">
        <v>1090005</v>
      </c>
      <c r="B152" s="15" t="inlineStr">
        <is>
          <t>TBS - Retail Price</t>
        </is>
      </c>
      <c r="C152" s="15" t="inlineStr">
        <is>
          <t>LABATT BREWERIES OF CANADA LP</t>
        </is>
      </c>
      <c r="D152" s="15" t="inlineStr">
        <is>
          <t>MILL ST ORGANIC LAG</t>
        </is>
      </c>
      <c r="E152" s="14" t="inlineStr">
        <is>
          <t>Bottles</t>
        </is>
      </c>
      <c r="F152" s="14" t="n">
        <v>341</v>
      </c>
      <c r="G152" s="15" t="inlineStr">
        <is>
          <t>Bottles  341 ml</t>
        </is>
      </c>
      <c r="H152" s="14" t="n">
        <v>24</v>
      </c>
      <c r="I152" s="16" t="n">
        <v>44.49</v>
      </c>
      <c r="J152" s="16" t="n">
        <v>48.49</v>
      </c>
      <c r="K152" s="16" t="n">
        <v>4</v>
      </c>
      <c r="L152" s="1">
        <f>IF(F152&gt;355,"TC",LEFT(E152,1))</f>
        <v/>
      </c>
      <c r="M152" s="1">
        <f>IF(K152&gt;0,"+","-")</f>
        <v/>
      </c>
      <c r="N152">
        <f>PROPER($D152)&amp;" "&amp;$H152&amp;$L152&amp;" "&amp;$M152&amp;"$"&amp;ABS($K152)&amp;" to $"&amp;$J152</f>
        <v/>
      </c>
      <c r="O152">
        <f>(J152/I152)*100</f>
        <v/>
      </c>
    </row>
    <row r="153" ht="15.5" customHeight="1">
      <c r="A153" s="14" t="n">
        <v>3667418</v>
      </c>
      <c r="B153" s="15" t="inlineStr">
        <is>
          <t>TBS - Retail Price</t>
        </is>
      </c>
      <c r="C153" s="15" t="inlineStr">
        <is>
          <t>MOLSON COORS BEVERAGE COMPANY</t>
        </is>
      </c>
      <c r="D153" s="15" t="inlineStr">
        <is>
          <t>COORS SELT SPLASH</t>
        </is>
      </c>
      <c r="E153" s="14" t="inlineStr">
        <is>
          <t>Cans</t>
        </is>
      </c>
      <c r="F153" s="14" t="n">
        <v>355</v>
      </c>
      <c r="G153" s="15" t="inlineStr">
        <is>
          <t>Cans  355 ml</t>
        </is>
      </c>
      <c r="H153" s="14" t="n">
        <v>24</v>
      </c>
      <c r="I153" s="16" t="n">
        <v>43.99</v>
      </c>
      <c r="J153" s="16" t="n">
        <v>47.99</v>
      </c>
      <c r="K153" s="16" t="n">
        <v>4</v>
      </c>
      <c r="L153" s="1">
        <f>IF(F153&gt;355,"TC",LEFT(E153,1))</f>
        <v/>
      </c>
      <c r="M153" s="1">
        <f>IF(K153&gt;0,"+","-")</f>
        <v/>
      </c>
      <c r="N153">
        <f>PROPER($D153)&amp;" "&amp;$H153&amp;$L153&amp;" "&amp;$M153&amp;"$"&amp;ABS($K153)&amp;" to $"&amp;$J153</f>
        <v/>
      </c>
      <c r="O153">
        <f>(J153/I153)*100</f>
        <v/>
      </c>
    </row>
    <row r="154" ht="15.5" customHeight="1">
      <c r="A154" s="14" t="n">
        <v>1632033</v>
      </c>
      <c r="B154" s="15" t="inlineStr">
        <is>
          <t>TBS - Retail Price</t>
        </is>
      </c>
      <c r="C154" s="15" t="inlineStr">
        <is>
          <t>MOOSEHEAD BREWERIES LIMITED</t>
        </is>
      </c>
      <c r="D154" s="15" t="inlineStr">
        <is>
          <t>ALPINE LAGER</t>
        </is>
      </c>
      <c r="E154" s="14" t="inlineStr">
        <is>
          <t>Cans</t>
        </is>
      </c>
      <c r="F154" s="14" t="n">
        <v>355</v>
      </c>
      <c r="G154" s="15" t="inlineStr">
        <is>
          <t>Cans  355 ml</t>
        </is>
      </c>
      <c r="H154" s="14" t="n">
        <v>24</v>
      </c>
      <c r="I154" s="16" t="n">
        <v>40.99</v>
      </c>
      <c r="J154" s="16" t="n">
        <v>44.99</v>
      </c>
      <c r="K154" s="16" t="n">
        <v>4</v>
      </c>
      <c r="L154" s="1">
        <f>IF(F154&gt;355,"TC",LEFT(E154,1))</f>
        <v/>
      </c>
      <c r="M154" s="1">
        <f>IF(K154&gt;0,"+","-")</f>
        <v/>
      </c>
      <c r="N154">
        <f>PROPER($D154)&amp;" "&amp;$H154&amp;$L154&amp;" "&amp;$M154&amp;"$"&amp;ABS($K154)&amp;" to $"&amp;$J154</f>
        <v/>
      </c>
      <c r="O154">
        <f>(J154/I154)*100</f>
        <v/>
      </c>
    </row>
    <row r="155" ht="15.5" customHeight="1">
      <c r="A155" s="14" t="n">
        <v>1629033</v>
      </c>
      <c r="B155" s="15" t="inlineStr">
        <is>
          <t>TBS - Retail Price</t>
        </is>
      </c>
      <c r="C155" s="15" t="inlineStr">
        <is>
          <t>MOOSEHEAD BREWERIES LIMITED</t>
        </is>
      </c>
      <c r="D155" s="15" t="inlineStr">
        <is>
          <t>CRACKED CANOE</t>
        </is>
      </c>
      <c r="E155" s="14" t="inlineStr">
        <is>
          <t>Cans</t>
        </is>
      </c>
      <c r="F155" s="14" t="n">
        <v>355</v>
      </c>
      <c r="G155" s="15" t="inlineStr">
        <is>
          <t>Cans  355 ml</t>
        </is>
      </c>
      <c r="H155" s="14" t="n">
        <v>24</v>
      </c>
      <c r="I155" s="16" t="n">
        <v>40.99</v>
      </c>
      <c r="J155" s="16" t="n">
        <v>44.99</v>
      </c>
      <c r="K155" s="16" t="n">
        <v>4</v>
      </c>
      <c r="L155" s="1">
        <f>IF(F155&gt;355,"TC",LEFT(E155,1))</f>
        <v/>
      </c>
      <c r="M155" s="1">
        <f>IF(K155&gt;0,"+","-")</f>
        <v/>
      </c>
      <c r="N155">
        <f>PROPER($D155)&amp;" "&amp;$H155&amp;$L155&amp;" "&amp;$M155&amp;"$"&amp;ABS($K155)&amp;" to $"&amp;$J155</f>
        <v/>
      </c>
      <c r="O155">
        <f>(J155/I155)*100</f>
        <v/>
      </c>
    </row>
    <row r="156" ht="15.5" customHeight="1">
      <c r="A156" s="14" t="n">
        <v>1617041</v>
      </c>
      <c r="B156" s="15" t="inlineStr">
        <is>
          <t>TBS - Retail Price</t>
        </is>
      </c>
      <c r="C156" s="15" t="inlineStr">
        <is>
          <t>MOOSEHEAD BREWERIES LIMITED</t>
        </is>
      </c>
      <c r="D156" s="15" t="inlineStr">
        <is>
          <t>JAMES READY 5.5</t>
        </is>
      </c>
      <c r="E156" s="14" t="inlineStr">
        <is>
          <t>Cans</t>
        </is>
      </c>
      <c r="F156" s="14" t="n">
        <v>473</v>
      </c>
      <c r="G156" s="15" t="inlineStr">
        <is>
          <t>Cans  473 ml</t>
        </is>
      </c>
      <c r="H156" s="14" t="n">
        <v>24</v>
      </c>
      <c r="I156" s="16" t="n">
        <v>40.99</v>
      </c>
      <c r="J156" s="16" t="n">
        <v>44.99</v>
      </c>
      <c r="K156" s="16" t="n">
        <v>4</v>
      </c>
      <c r="L156" s="1">
        <f>IF(F156&gt;355,"TC",LEFT(E156,1))</f>
        <v/>
      </c>
      <c r="M156" s="1">
        <f>IF(K156&gt;0,"+","-")</f>
        <v/>
      </c>
      <c r="N156">
        <f>PROPER($D156)&amp;" "&amp;$H156&amp;$L156&amp;" "&amp;$M156&amp;"$"&amp;ABS($K156)&amp;" to $"&amp;$J156</f>
        <v/>
      </c>
      <c r="O156">
        <f>(J156/I156)*100</f>
        <v/>
      </c>
    </row>
    <row r="157" ht="15.5" customHeight="1">
      <c r="A157" s="14" t="n">
        <v>1628033</v>
      </c>
      <c r="B157" s="15" t="inlineStr">
        <is>
          <t>TBS - Retail Price</t>
        </is>
      </c>
      <c r="C157" s="15" t="inlineStr">
        <is>
          <t>MOOSEHEAD BREWERIES LIMITED</t>
        </is>
      </c>
      <c r="D157" s="15" t="inlineStr">
        <is>
          <t>MOOSEHEAD LAGER</t>
        </is>
      </c>
      <c r="E157" s="14" t="inlineStr">
        <is>
          <t>Cans</t>
        </is>
      </c>
      <c r="F157" s="14" t="n">
        <v>355</v>
      </c>
      <c r="G157" s="15" t="inlineStr">
        <is>
          <t>Cans  355 ml</t>
        </is>
      </c>
      <c r="H157" s="14" t="n">
        <v>24</v>
      </c>
      <c r="I157" s="16" t="n">
        <v>40.99</v>
      </c>
      <c r="J157" s="16" t="n">
        <v>44.99</v>
      </c>
      <c r="K157" s="16" t="n">
        <v>4</v>
      </c>
      <c r="L157" s="1">
        <f>IF(F157&gt;355,"TC",LEFT(E157,1))</f>
        <v/>
      </c>
      <c r="M157" s="1">
        <f>IF(K157&gt;0,"+","-")</f>
        <v/>
      </c>
      <c r="N157">
        <f>PROPER($D157)&amp;" "&amp;$H157&amp;$L157&amp;" "&amp;$M157&amp;"$"&amp;ABS($K157)&amp;" to $"&amp;$J157</f>
        <v/>
      </c>
      <c r="O157">
        <f>(J157/I157)*100</f>
        <v/>
      </c>
    </row>
    <row r="158" ht="15.5" customHeight="1">
      <c r="A158" s="14" t="n">
        <v>1624033</v>
      </c>
      <c r="B158" s="15" t="inlineStr">
        <is>
          <t>TBS - Retail Price</t>
        </is>
      </c>
      <c r="C158" s="15" t="inlineStr">
        <is>
          <t>MOOSEHEAD BREWERIES LIMITED</t>
        </is>
      </c>
      <c r="D158" s="15" t="inlineStr">
        <is>
          <t>MOOSEHEAD LIGHT</t>
        </is>
      </c>
      <c r="E158" s="14" t="inlineStr">
        <is>
          <t>Cans</t>
        </is>
      </c>
      <c r="F158" s="14" t="n">
        <v>355</v>
      </c>
      <c r="G158" s="15" t="inlineStr">
        <is>
          <t>Cans  355 ml</t>
        </is>
      </c>
      <c r="H158" s="14" t="n">
        <v>24</v>
      </c>
      <c r="I158" s="16" t="n">
        <v>40.99</v>
      </c>
      <c r="J158" s="16" t="n">
        <v>44.99</v>
      </c>
      <c r="K158" s="16" t="n">
        <v>4</v>
      </c>
      <c r="L158" s="1">
        <f>IF(F158&gt;355,"TC",LEFT(E158,1))</f>
        <v/>
      </c>
      <c r="M158" s="1">
        <f>IF(K158&gt;0,"+","-")</f>
        <v/>
      </c>
      <c r="N158">
        <f>PROPER($D158)&amp;" "&amp;$H158&amp;$L158&amp;" "&amp;$M158&amp;"$"&amp;ABS($K158)&amp;" to $"&amp;$J158</f>
        <v/>
      </c>
      <c r="O158">
        <f>(J158/I158)*100</f>
        <v/>
      </c>
    </row>
    <row r="159" ht="15.5" customHeight="1">
      <c r="A159" s="14" t="n">
        <v>1602033</v>
      </c>
      <c r="B159" s="15" t="inlineStr">
        <is>
          <t>TBS - Retail Price</t>
        </is>
      </c>
      <c r="C159" s="15" t="inlineStr">
        <is>
          <t>MUSKOKA COTTAGE BREWERY INC</t>
        </is>
      </c>
      <c r="D159" s="15" t="inlineStr">
        <is>
          <t>MUSKOKA CRAFT LAGER</t>
        </is>
      </c>
      <c r="E159" s="14" t="inlineStr">
        <is>
          <t>Cans</t>
        </is>
      </c>
      <c r="F159" s="14" t="n">
        <v>355</v>
      </c>
      <c r="G159" s="15" t="inlineStr">
        <is>
          <t>Cans  355 ml</t>
        </is>
      </c>
      <c r="H159" s="14" t="n">
        <v>24</v>
      </c>
      <c r="I159" s="16" t="n">
        <v>44.49</v>
      </c>
      <c r="J159" s="16" t="n">
        <v>48.49</v>
      </c>
      <c r="K159" s="16" t="n">
        <v>4</v>
      </c>
      <c r="L159" s="1">
        <f>IF(F159&gt;355,"TC",LEFT(E159,1))</f>
        <v/>
      </c>
      <c r="M159" s="1">
        <f>IF(K159&gt;0,"+","-")</f>
        <v/>
      </c>
      <c r="N159">
        <f>PROPER($D159)&amp;" "&amp;$H159&amp;$L159&amp;" "&amp;$M159&amp;"$"&amp;ABS($K159)&amp;" to $"&amp;$J159</f>
        <v/>
      </c>
      <c r="O159">
        <f>(J159/I159)*100</f>
        <v/>
      </c>
    </row>
    <row r="160" ht="15.5" customHeight="1">
      <c r="A160" s="14" t="n">
        <v>2503033</v>
      </c>
      <c r="B160" s="15" t="inlineStr">
        <is>
          <t>TBS - Retail Price</t>
        </is>
      </c>
      <c r="C160" s="15" t="inlineStr">
        <is>
          <t>MUSKOKA COTTAGE BREWERY INC</t>
        </is>
      </c>
      <c r="D160" s="15" t="inlineStr">
        <is>
          <t>MUSKOKA TREAD LIGHT</t>
        </is>
      </c>
      <c r="E160" s="14" t="inlineStr">
        <is>
          <t>Cans</t>
        </is>
      </c>
      <c r="F160" s="14" t="n">
        <v>355</v>
      </c>
      <c r="G160" s="15" t="inlineStr">
        <is>
          <t>Cans  355 ml</t>
        </is>
      </c>
      <c r="H160" s="14" t="n">
        <v>24</v>
      </c>
      <c r="I160" s="16" t="n">
        <v>39.99</v>
      </c>
      <c r="J160" s="16" t="n">
        <v>43.99</v>
      </c>
      <c r="K160" s="16" t="n">
        <v>4</v>
      </c>
      <c r="L160" s="1">
        <f>IF(F160&gt;355,"TC",LEFT(E160,1))</f>
        <v/>
      </c>
      <c r="M160" s="1">
        <f>IF(K160&gt;0,"+","-")</f>
        <v/>
      </c>
      <c r="N160">
        <f>PROPER($D160)&amp;" "&amp;$H160&amp;$L160&amp;" "&amp;$M160&amp;"$"&amp;ABS($K160)&amp;" to $"&amp;$J160</f>
        <v/>
      </c>
      <c r="O160">
        <f>(J160/I160)*100</f>
        <v/>
      </c>
    </row>
    <row r="161" ht="15.5" customHeight="1">
      <c r="A161" s="14" t="n">
        <v>1585041</v>
      </c>
      <c r="B161" s="15" t="inlineStr">
        <is>
          <t>TBS - Licensee</t>
        </is>
      </c>
      <c r="C161" s="15" t="inlineStr">
        <is>
          <t>NICKEL BROOK BREWING COMPANY INC</t>
        </is>
      </c>
      <c r="D161" s="15" t="inlineStr">
        <is>
          <t>NAUGHTY NEIGHBOUR</t>
        </is>
      </c>
      <c r="E161" s="14" t="inlineStr">
        <is>
          <t>Cans</t>
        </is>
      </c>
      <c r="F161" s="14" t="n">
        <v>473</v>
      </c>
      <c r="G161" s="15" t="inlineStr">
        <is>
          <t>Cans  473 ml</t>
        </is>
      </c>
      <c r="H161" s="14" t="n">
        <v>24</v>
      </c>
      <c r="I161" s="16" t="n">
        <v>61.88</v>
      </c>
      <c r="J161" s="16" t="n">
        <v>65.88</v>
      </c>
      <c r="K161" s="16" t="n">
        <v>4</v>
      </c>
      <c r="L161" s="1">
        <f>IF(F161&gt;355,"TC",LEFT(E161,1))</f>
        <v/>
      </c>
      <c r="M161" s="1">
        <f>IF(K161&gt;0,"+","-")</f>
        <v/>
      </c>
      <c r="N161">
        <f>PROPER($D161)&amp;" "&amp;$H161&amp;$L161&amp;" "&amp;$M161&amp;"$"&amp;ABS($K161)&amp;" to $"&amp;$J161</f>
        <v/>
      </c>
      <c r="O161">
        <f>(J161/I161)*100</f>
        <v/>
      </c>
    </row>
    <row r="162" ht="15.5" customHeight="1">
      <c r="A162" s="14" t="n">
        <v>1585041</v>
      </c>
      <c r="B162" s="15" t="inlineStr">
        <is>
          <t>TBS - Retail Price</t>
        </is>
      </c>
      <c r="C162" s="15" t="inlineStr">
        <is>
          <t>NICKEL BROOK BREWING COMPANY INC</t>
        </is>
      </c>
      <c r="D162" s="15" t="inlineStr">
        <is>
          <t>NAUGHTY NEIGHBOUR</t>
        </is>
      </c>
      <c r="E162" s="14" t="inlineStr">
        <is>
          <t>Cans</t>
        </is>
      </c>
      <c r="F162" s="14" t="n">
        <v>473</v>
      </c>
      <c r="G162" s="15" t="inlineStr">
        <is>
          <t>Cans  473 ml</t>
        </is>
      </c>
      <c r="H162" s="14" t="n">
        <v>24</v>
      </c>
      <c r="I162" s="16" t="n">
        <v>61.88</v>
      </c>
      <c r="J162" s="16" t="n">
        <v>65.88</v>
      </c>
      <c r="K162" s="16" t="n">
        <v>4</v>
      </c>
      <c r="L162" s="1">
        <f>IF(F162&gt;355,"TC",LEFT(E162,1))</f>
        <v/>
      </c>
      <c r="M162" s="1">
        <f>IF(K162&gt;0,"+","-")</f>
        <v/>
      </c>
      <c r="N162">
        <f>PROPER($D162)&amp;" "&amp;$H162&amp;$L162&amp;" "&amp;$M162&amp;"$"&amp;ABS($K162)&amp;" to $"&amp;$J162</f>
        <v/>
      </c>
      <c r="O162">
        <f>(J162/I162)*100</f>
        <v/>
      </c>
    </row>
    <row r="163" ht="15.5" customHeight="1">
      <c r="A163" s="14" t="n">
        <v>3703041</v>
      </c>
      <c r="B163" s="15" t="inlineStr">
        <is>
          <t>TBS - Licensee</t>
        </is>
      </c>
      <c r="C163" s="15" t="inlineStr">
        <is>
          <t>NICKEL BROOK BREWING COMPANY INC</t>
        </is>
      </c>
      <c r="D163" s="15" t="inlineStr">
        <is>
          <t>NICKEL BROOK LAGER</t>
        </is>
      </c>
      <c r="E163" s="14" t="inlineStr">
        <is>
          <t>Cans</t>
        </is>
      </c>
      <c r="F163" s="14" t="n">
        <v>473</v>
      </c>
      <c r="G163" s="15" t="inlineStr">
        <is>
          <t>Cans  473 ml</t>
        </is>
      </c>
      <c r="H163" s="14" t="n">
        <v>24</v>
      </c>
      <c r="I163" s="16" t="n">
        <v>53</v>
      </c>
      <c r="J163" s="16" t="n">
        <v>57</v>
      </c>
      <c r="K163" s="16" t="n">
        <v>4</v>
      </c>
      <c r="L163" s="1">
        <f>IF(F163&gt;355,"TC",LEFT(E163,1))</f>
        <v/>
      </c>
      <c r="M163" s="1">
        <f>IF(K163&gt;0,"+","-")</f>
        <v/>
      </c>
      <c r="N163">
        <f>PROPER($D163)&amp;" "&amp;$H163&amp;$L163&amp;" "&amp;$M163&amp;"$"&amp;ABS($K163)&amp;" to $"&amp;$J163</f>
        <v/>
      </c>
      <c r="O163">
        <f>(J163/I163)*100</f>
        <v/>
      </c>
    </row>
    <row r="164" ht="15.5" customHeight="1">
      <c r="A164" s="14" t="n">
        <v>3703041</v>
      </c>
      <c r="B164" s="15" t="inlineStr">
        <is>
          <t>TBS - Retail Price</t>
        </is>
      </c>
      <c r="C164" s="15" t="inlineStr">
        <is>
          <t>NICKEL BROOK BREWING COMPANY INC</t>
        </is>
      </c>
      <c r="D164" s="15" t="inlineStr">
        <is>
          <t>NICKEL BROOK LAGER</t>
        </is>
      </c>
      <c r="E164" s="14" t="inlineStr">
        <is>
          <t>Cans</t>
        </is>
      </c>
      <c r="F164" s="14" t="n">
        <v>473</v>
      </c>
      <c r="G164" s="15" t="inlineStr">
        <is>
          <t>Cans  473 ml</t>
        </is>
      </c>
      <c r="H164" s="14" t="n">
        <v>24</v>
      </c>
      <c r="I164" s="16" t="n">
        <v>53</v>
      </c>
      <c r="J164" s="16" t="n">
        <v>57</v>
      </c>
      <c r="K164" s="16" t="n">
        <v>4</v>
      </c>
      <c r="L164" s="1">
        <f>IF(F164&gt;355,"TC",LEFT(E164,1))</f>
        <v/>
      </c>
      <c r="M164" s="1">
        <f>IF(K164&gt;0,"+","-")</f>
        <v/>
      </c>
      <c r="N164">
        <f>PROPER($D164)&amp;" "&amp;$H164&amp;$L164&amp;" "&amp;$M164&amp;"$"&amp;ABS($K164)&amp;" to $"&amp;$J164</f>
        <v/>
      </c>
      <c r="O164">
        <f>(J164/I164)*100</f>
        <v/>
      </c>
    </row>
    <row r="165" ht="15.5" customHeight="1">
      <c r="A165" s="14" t="n">
        <v>1065033</v>
      </c>
      <c r="B165" s="15" t="inlineStr">
        <is>
          <t>TBS - Retail Price</t>
        </is>
      </c>
      <c r="C165" s="15" t="inlineStr">
        <is>
          <t>STEAM WHISTLE BREWING INC</t>
        </is>
      </c>
      <c r="D165" s="15" t="inlineStr">
        <is>
          <t>STEAM WHISTLE</t>
        </is>
      </c>
      <c r="E165" s="14" t="inlineStr">
        <is>
          <t>Cans</t>
        </is>
      </c>
      <c r="F165" s="14" t="n">
        <v>355</v>
      </c>
      <c r="G165" s="15" t="inlineStr">
        <is>
          <t>Cans  355 ml</t>
        </is>
      </c>
      <c r="H165" s="14" t="n">
        <v>24</v>
      </c>
      <c r="I165" s="16" t="n">
        <v>45.99</v>
      </c>
      <c r="J165" s="16" t="n">
        <v>49.99</v>
      </c>
      <c r="K165" s="16" t="n">
        <v>4</v>
      </c>
      <c r="L165" s="1">
        <f>IF(F165&gt;355,"TC",LEFT(E165,1))</f>
        <v/>
      </c>
      <c r="M165" s="1">
        <f>IF(K165&gt;0,"+","-")</f>
        <v/>
      </c>
      <c r="N165">
        <f>PROPER($D165)&amp;" "&amp;$H165&amp;$L165&amp;" "&amp;$M165&amp;"$"&amp;ABS($K165)&amp;" to $"&amp;$J165</f>
        <v/>
      </c>
      <c r="O165">
        <f>(J165/I165)*100</f>
        <v/>
      </c>
    </row>
    <row r="166" ht="15.5" customHeight="1">
      <c r="A166" s="14" t="n">
        <v>2341041</v>
      </c>
      <c r="B166" s="15" t="inlineStr">
        <is>
          <t>TBS - Retail Price</t>
        </is>
      </c>
      <c r="C166" s="15" t="inlineStr">
        <is>
          <t>MOLSON COORS BEVERAGE COMPANY</t>
        </is>
      </c>
      <c r="D166" s="15" t="inlineStr">
        <is>
          <t>COORS ORIGINAL</t>
        </is>
      </c>
      <c r="E166" s="14" t="inlineStr">
        <is>
          <t>Cans</t>
        </is>
      </c>
      <c r="F166" s="14" t="n">
        <v>473</v>
      </c>
      <c r="G166" s="15" t="inlineStr">
        <is>
          <t>Cans  473 ml</t>
        </is>
      </c>
      <c r="H166" s="14" t="n">
        <v>24</v>
      </c>
      <c r="I166" s="16" t="n">
        <v>53.89</v>
      </c>
      <c r="J166" s="16" t="n">
        <v>57.99</v>
      </c>
      <c r="K166" s="16" t="n">
        <v>4.1</v>
      </c>
      <c r="L166" s="1">
        <f>IF(F166&gt;355,"TC",LEFT(E166,1))</f>
        <v/>
      </c>
      <c r="M166" s="1">
        <f>IF(K166&gt;0,"+","-")</f>
        <v/>
      </c>
      <c r="N166">
        <f>PROPER($D166)&amp;" "&amp;$H166&amp;$L166&amp;" "&amp;$M166&amp;"$"&amp;ABS($K166)&amp;" to $"&amp;$J166</f>
        <v/>
      </c>
      <c r="O166">
        <f>(J166/I166)*100</f>
        <v/>
      </c>
    </row>
    <row r="167" ht="15.5" customHeight="1">
      <c r="A167" s="14" t="n">
        <v>1046172</v>
      </c>
      <c r="B167" s="15" t="inlineStr">
        <is>
          <t>TBS - Retail Price</t>
        </is>
      </c>
      <c r="C167" s="15" t="inlineStr">
        <is>
          <t>LABATT BREWERIES OF CANADA LP</t>
        </is>
      </c>
      <c r="D167" s="15" t="inlineStr">
        <is>
          <t>BUSCH LIGHT</t>
        </is>
      </c>
      <c r="E167" s="14" t="inlineStr">
        <is>
          <t>Cans</t>
        </is>
      </c>
      <c r="F167" s="14" t="n">
        <v>355</v>
      </c>
      <c r="G167" s="15" t="inlineStr">
        <is>
          <t>Cans  355 ml</t>
        </is>
      </c>
      <c r="H167" s="14" t="n">
        <v>30</v>
      </c>
      <c r="I167" s="16" t="n">
        <v>43.49</v>
      </c>
      <c r="J167" s="16" t="n">
        <v>47.99</v>
      </c>
      <c r="K167" s="16" t="n">
        <v>4.5</v>
      </c>
      <c r="L167" s="1">
        <f>IF(F167&gt;355,"TC",LEFT(E167,1))</f>
        <v/>
      </c>
      <c r="M167" s="1">
        <f>IF(K167&gt;0,"+","-")</f>
        <v/>
      </c>
      <c r="N167">
        <f>PROPER($D167)&amp;" "&amp;$H167&amp;$L167&amp;" "&amp;$M167&amp;"$"&amp;ABS($K167)&amp;" to $"&amp;$J167</f>
        <v/>
      </c>
      <c r="O167">
        <f>(J167/I167)*100</f>
        <v/>
      </c>
    </row>
    <row r="168" ht="15.5" customHeight="1">
      <c r="A168" s="14" t="n">
        <v>1056100</v>
      </c>
      <c r="B168" s="15" t="inlineStr">
        <is>
          <t>TBS - Retail Price</t>
        </is>
      </c>
      <c r="C168" s="15" t="inlineStr">
        <is>
          <t>MOLSON COORS BEVERAGE COMPANY</t>
        </is>
      </c>
      <c r="D168" s="15" t="inlineStr">
        <is>
          <t>MOLSON CANADIAN</t>
        </is>
      </c>
      <c r="E168" s="14" t="inlineStr">
        <is>
          <t>Bottles</t>
        </is>
      </c>
      <c r="F168" s="14" t="n">
        <v>341</v>
      </c>
      <c r="G168" s="15" t="inlineStr">
        <is>
          <t>Bottles  341 ml</t>
        </is>
      </c>
      <c r="H168" s="14" t="n">
        <v>28</v>
      </c>
      <c r="I168" s="16" t="n">
        <v>38.99</v>
      </c>
      <c r="J168" s="16" t="n">
        <v>43.49</v>
      </c>
      <c r="K168" s="16" t="n">
        <v>4.5</v>
      </c>
      <c r="L168" s="1">
        <f>IF(F168&gt;355,"TC",LEFT(E168,1))</f>
        <v/>
      </c>
      <c r="M168" s="1">
        <f>IF(K168&gt;0,"+","-")</f>
        <v/>
      </c>
      <c r="N168">
        <f>PROPER($D168)&amp;" "&amp;$H168&amp;$L168&amp;" "&amp;$M168&amp;"$"&amp;ABS($K168)&amp;" to $"&amp;$J168</f>
        <v/>
      </c>
      <c r="O168">
        <f>(J168/I168)*100</f>
        <v/>
      </c>
    </row>
    <row r="169" ht="15.5" customHeight="1">
      <c r="A169" s="14" t="n">
        <v>2109048</v>
      </c>
      <c r="B169" s="15" t="inlineStr">
        <is>
          <t>TBS - Licensee</t>
        </is>
      </c>
      <c r="C169" s="15" t="inlineStr">
        <is>
          <t>ASAHI BREWERIES LTD</t>
        </is>
      </c>
      <c r="D169" s="15" t="inlineStr">
        <is>
          <t>ASAHI SUPER DRY</t>
        </is>
      </c>
      <c r="E169" s="14" t="inlineStr">
        <is>
          <t>Keg</t>
        </is>
      </c>
      <c r="F169" s="14" t="n">
        <v>19000</v>
      </c>
      <c r="G169" s="15" t="inlineStr">
        <is>
          <t>19 L  Keg</t>
        </is>
      </c>
      <c r="H169" s="14" t="n">
        <v>1</v>
      </c>
      <c r="I169" s="16" t="n">
        <v>118.01</v>
      </c>
      <c r="J169" s="16" t="n">
        <v>123</v>
      </c>
      <c r="K169" s="16" t="n">
        <v>4.99</v>
      </c>
      <c r="L169" s="1">
        <f>IF(F169&gt;355,"TC",LEFT(E169,1))</f>
        <v/>
      </c>
      <c r="M169" s="1">
        <f>IF(K169&gt;0,"+","-")</f>
        <v/>
      </c>
      <c r="N169">
        <f>PROPER($D169)&amp;" "&amp;$H169&amp;$L169&amp;" "&amp;$M169&amp;"$"&amp;ABS($K169)&amp;" to $"&amp;$J169</f>
        <v/>
      </c>
      <c r="O169">
        <f>(J169/I169)*100</f>
        <v/>
      </c>
    </row>
    <row r="170" ht="15.5" customHeight="1">
      <c r="A170" s="14" t="n">
        <v>1709112</v>
      </c>
      <c r="B170" s="15" t="inlineStr">
        <is>
          <t>TBS - Retail Price</t>
        </is>
      </c>
      <c r="C170" s="15" t="inlineStr">
        <is>
          <t>BEAU'S ALL NATURAL BREWING CO LTD</t>
        </is>
      </c>
      <c r="D170" s="15" t="inlineStr">
        <is>
          <t>BEAU'S LUG TREAD</t>
        </is>
      </c>
      <c r="E170" s="14" t="inlineStr">
        <is>
          <t>Cans</t>
        </is>
      </c>
      <c r="F170" s="14" t="n">
        <v>473</v>
      </c>
      <c r="G170" s="15" t="inlineStr">
        <is>
          <t>Cans  473 ml</t>
        </is>
      </c>
      <c r="H170" s="14" t="n">
        <v>48</v>
      </c>
      <c r="I170" s="16" t="n">
        <v>110.99</v>
      </c>
      <c r="J170" s="16" t="n">
        <v>115.99</v>
      </c>
      <c r="K170" s="16" t="n">
        <v>5</v>
      </c>
      <c r="L170" s="1">
        <f>IF(F170&gt;355,"TC",LEFT(E170,1))</f>
        <v/>
      </c>
      <c r="M170" s="1">
        <f>IF(K170&gt;0,"+","-")</f>
        <v/>
      </c>
      <c r="N170">
        <f>PROPER($D170)&amp;" "&amp;$H170&amp;$L170&amp;" "&amp;$M170&amp;"$"&amp;ABS($K170)&amp;" to $"&amp;$J170</f>
        <v/>
      </c>
      <c r="O170">
        <f>(J170/I170)*100</f>
        <v/>
      </c>
    </row>
    <row r="171" ht="15.5" customHeight="1">
      <c r="A171" s="14" t="n">
        <v>1250013</v>
      </c>
      <c r="B171" s="15" t="inlineStr">
        <is>
          <t>TBS - Retail Price</t>
        </is>
      </c>
      <c r="C171" s="15" t="inlineStr">
        <is>
          <t>BIRRA PERONI SPA AS</t>
        </is>
      </c>
      <c r="D171" s="15" t="inlineStr">
        <is>
          <t>PERONI</t>
        </is>
      </c>
      <c r="E171" s="14" t="inlineStr">
        <is>
          <t>Bottles</t>
        </is>
      </c>
      <c r="F171" s="14" t="n">
        <v>330</v>
      </c>
      <c r="G171" s="15" t="inlineStr">
        <is>
          <t>Bottles  330 ml</t>
        </is>
      </c>
      <c r="H171" s="14" t="n">
        <v>24</v>
      </c>
      <c r="I171" s="16" t="n">
        <v>44.99</v>
      </c>
      <c r="J171" s="16" t="n">
        <v>49.99</v>
      </c>
      <c r="K171" s="16" t="n">
        <v>5</v>
      </c>
      <c r="L171" s="1">
        <f>IF(F171&gt;355,"TC",LEFT(E171,1))</f>
        <v/>
      </c>
      <c r="M171" s="1">
        <f>IF(K171&gt;0,"+","-")</f>
        <v/>
      </c>
      <c r="N171">
        <f>PROPER($D171)&amp;" "&amp;$H171&amp;$L171&amp;" "&amp;$M171&amp;"$"&amp;ABS($K171)&amp;" to $"&amp;$J171</f>
        <v/>
      </c>
      <c r="O171">
        <f>(J171/I171)*100</f>
        <v/>
      </c>
    </row>
    <row r="172" ht="15.5" customHeight="1">
      <c r="A172" s="14" t="n">
        <v>3879041</v>
      </c>
      <c r="B172" s="15" t="inlineStr">
        <is>
          <t>TBS - Retail Price</t>
        </is>
      </c>
      <c r="C172" s="15" t="inlineStr">
        <is>
          <t>FARMERS CREED CORP</t>
        </is>
      </c>
      <c r="D172" s="15" t="inlineStr">
        <is>
          <t>GONE FISHIN LIGHT</t>
        </is>
      </c>
      <c r="E172" s="14" t="inlineStr">
        <is>
          <t>Cans</t>
        </is>
      </c>
      <c r="F172" s="14" t="n">
        <v>473</v>
      </c>
      <c r="G172" s="15" t="inlineStr">
        <is>
          <t>Cans  473 ml</t>
        </is>
      </c>
      <c r="H172" s="14" t="n">
        <v>24</v>
      </c>
      <c r="I172" s="16" t="n">
        <v>53.99</v>
      </c>
      <c r="J172" s="16" t="n">
        <v>58.99</v>
      </c>
      <c r="K172" s="16" t="n">
        <v>5</v>
      </c>
      <c r="L172" s="1">
        <f>IF(F172&gt;355,"TC",LEFT(E172,1))</f>
        <v/>
      </c>
      <c r="M172" s="1">
        <f>IF(K172&gt;0,"+","-")</f>
        <v/>
      </c>
      <c r="N172">
        <f>PROPER($D172)&amp;" "&amp;$H172&amp;$L172&amp;" "&amp;$M172&amp;"$"&amp;ABS($K172)&amp;" to $"&amp;$J172</f>
        <v/>
      </c>
      <c r="O172">
        <f>(J172/I172)*100</f>
        <v/>
      </c>
    </row>
    <row r="173" ht="15.5" customHeight="1">
      <c r="A173" s="14" t="n">
        <v>3154041</v>
      </c>
      <c r="B173" s="15" t="inlineStr">
        <is>
          <t>TBS - Retail Price</t>
        </is>
      </c>
      <c r="C173" s="15" t="inlineStr">
        <is>
          <t>FARMERS CREED CORP</t>
        </is>
      </c>
      <c r="D173" s="15" t="inlineStr">
        <is>
          <t>LONGHORN LAGER</t>
        </is>
      </c>
      <c r="E173" s="14" t="inlineStr">
        <is>
          <t>Cans</t>
        </is>
      </c>
      <c r="F173" s="14" t="n">
        <v>473</v>
      </c>
      <c r="G173" s="15" t="inlineStr">
        <is>
          <t>Cans  473 ml</t>
        </is>
      </c>
      <c r="H173" s="14" t="n">
        <v>24</v>
      </c>
      <c r="I173" s="16" t="n">
        <v>54.99</v>
      </c>
      <c r="J173" s="16" t="n">
        <v>59.99</v>
      </c>
      <c r="K173" s="16" t="n">
        <v>5</v>
      </c>
      <c r="L173" s="1">
        <f>IF(F173&gt;355,"TC",LEFT(E173,1))</f>
        <v/>
      </c>
      <c r="M173" s="1">
        <f>IF(K173&gt;0,"+","-")</f>
        <v/>
      </c>
      <c r="N173">
        <f>PROPER($D173)&amp;" "&amp;$H173&amp;$L173&amp;" "&amp;$M173&amp;"$"&amp;ABS($K173)&amp;" to $"&amp;$J173</f>
        <v/>
      </c>
      <c r="O173">
        <f>(J173/I173)*100</f>
        <v/>
      </c>
    </row>
    <row r="174" ht="15.5" customHeight="1">
      <c r="A174" s="14" t="n">
        <v>1143013</v>
      </c>
      <c r="B174" s="15" t="inlineStr">
        <is>
          <t>TBS - Retail Price</t>
        </is>
      </c>
      <c r="C174" s="15" t="inlineStr">
        <is>
          <t>HEINEKEN CANADA INC</t>
        </is>
      </c>
      <c r="D174" s="15" t="inlineStr">
        <is>
          <t>HEINEKEN NV</t>
        </is>
      </c>
      <c r="E174" s="14" t="inlineStr">
        <is>
          <t>Bottles</t>
        </is>
      </c>
      <c r="F174" s="14" t="n">
        <v>330</v>
      </c>
      <c r="G174" s="15" t="inlineStr">
        <is>
          <t>Bottles  330 ml</t>
        </is>
      </c>
      <c r="H174" s="14" t="n">
        <v>24</v>
      </c>
      <c r="I174" s="16" t="n">
        <v>44.99</v>
      </c>
      <c r="J174" s="16" t="n">
        <v>49.99</v>
      </c>
      <c r="K174" s="16" t="n">
        <v>5</v>
      </c>
      <c r="L174" s="1">
        <f>IF(F174&gt;355,"TC",LEFT(E174,1))</f>
        <v/>
      </c>
      <c r="M174" s="1">
        <f>IF(K174&gt;0,"+","-")</f>
        <v/>
      </c>
      <c r="N174">
        <f>PROPER($D174)&amp;" "&amp;$H174&amp;$L174&amp;" "&amp;$M174&amp;"$"&amp;ABS($K174)&amp;" to $"&amp;$J174</f>
        <v/>
      </c>
      <c r="O174">
        <f>(J174/I174)*100</f>
        <v/>
      </c>
    </row>
    <row r="175" ht="15.5" customHeight="1">
      <c r="A175" s="14" t="n">
        <v>1041172</v>
      </c>
      <c r="B175" s="15" t="inlineStr">
        <is>
          <t>TBS - Retail Price</t>
        </is>
      </c>
      <c r="C175" s="15" t="inlineStr">
        <is>
          <t>LABATT BREWERIES OF CANADA LP</t>
        </is>
      </c>
      <c r="D175" s="15" t="inlineStr">
        <is>
          <t>BUD LIGHT</t>
        </is>
      </c>
      <c r="E175" s="14" t="inlineStr">
        <is>
          <t>Cans</t>
        </is>
      </c>
      <c r="F175" s="14" t="n">
        <v>355</v>
      </c>
      <c r="G175" s="15" t="inlineStr">
        <is>
          <t>Cans  355 ml</t>
        </is>
      </c>
      <c r="H175" s="14" t="n">
        <v>30</v>
      </c>
      <c r="I175" s="16" t="n">
        <v>45.99</v>
      </c>
      <c r="J175" s="16" t="n">
        <v>50.99</v>
      </c>
      <c r="K175" s="16" t="n">
        <v>5</v>
      </c>
      <c r="L175" s="1">
        <f>IF(F175&gt;355,"TC",LEFT(E175,1))</f>
        <v/>
      </c>
      <c r="M175" s="1">
        <f>IF(K175&gt;0,"+","-")</f>
        <v/>
      </c>
      <c r="N175">
        <f>PROPER($D175)&amp;" "&amp;$H175&amp;$L175&amp;" "&amp;$M175&amp;"$"&amp;ABS($K175)&amp;" to $"&amp;$J175</f>
        <v/>
      </c>
      <c r="O175">
        <f>(J175/I175)*100</f>
        <v/>
      </c>
    </row>
    <row r="176" ht="15.5" customHeight="1">
      <c r="A176" s="14" t="n">
        <v>3916041</v>
      </c>
      <c r="B176" s="15" t="inlineStr">
        <is>
          <t>TBS - Retail Price</t>
        </is>
      </c>
      <c r="C176" s="15" t="inlineStr">
        <is>
          <t>LABATT BREWERIES OF CANADA LP</t>
        </is>
      </c>
      <c r="D176" s="15" t="inlineStr">
        <is>
          <t>BUD LIGHT LEMON LIME</t>
        </is>
      </c>
      <c r="E176" s="14" t="inlineStr">
        <is>
          <t>Cans</t>
        </is>
      </c>
      <c r="F176" s="14" t="n">
        <v>473</v>
      </c>
      <c r="G176" s="15" t="inlineStr">
        <is>
          <t>Cans  473 ml</t>
        </is>
      </c>
      <c r="H176" s="14" t="n">
        <v>24</v>
      </c>
      <c r="I176" s="16" t="n">
        <v>52.49</v>
      </c>
      <c r="J176" s="16" t="n">
        <v>57.49</v>
      </c>
      <c r="K176" s="16" t="n">
        <v>5</v>
      </c>
      <c r="L176" s="1">
        <f>IF(F176&gt;355,"TC",LEFT(E176,1))</f>
        <v/>
      </c>
      <c r="M176" s="1">
        <f>IF(K176&gt;0,"+","-")</f>
        <v/>
      </c>
      <c r="N176">
        <f>PROPER($D176)&amp;" "&amp;$H176&amp;$L176&amp;" "&amp;$M176&amp;"$"&amp;ABS($K176)&amp;" to $"&amp;$J176</f>
        <v/>
      </c>
      <c r="O176">
        <f>(J176/I176)*100</f>
        <v/>
      </c>
    </row>
    <row r="177" ht="15.5" customHeight="1">
      <c r="A177" s="14" t="n">
        <v>3919033</v>
      </c>
      <c r="B177" s="15" t="inlineStr">
        <is>
          <t>TBS - Retail Price</t>
        </is>
      </c>
      <c r="C177" s="15" t="inlineStr">
        <is>
          <t>LABATT BREWERIES OF CANADA LP</t>
        </is>
      </c>
      <c r="D177" s="15" t="inlineStr">
        <is>
          <t>BUD LIGHT LIME TIME</t>
        </is>
      </c>
      <c r="E177" s="14" t="inlineStr">
        <is>
          <t>Cans</t>
        </is>
      </c>
      <c r="F177" s="14" t="n">
        <v>355</v>
      </c>
      <c r="G177" s="15" t="inlineStr">
        <is>
          <t>Cans  355 ml</t>
        </is>
      </c>
      <c r="H177" s="14" t="n">
        <v>24</v>
      </c>
      <c r="I177" s="16" t="n">
        <v>44.99</v>
      </c>
      <c r="J177" s="16" t="n">
        <v>49.99</v>
      </c>
      <c r="K177" s="16" t="n">
        <v>5</v>
      </c>
      <c r="L177" s="1">
        <f>IF(F177&gt;355,"TC",LEFT(E177,1))</f>
        <v/>
      </c>
      <c r="M177" s="1">
        <f>IF(K177&gt;0,"+","-")</f>
        <v/>
      </c>
      <c r="N177">
        <f>PROPER($D177)&amp;" "&amp;$H177&amp;$L177&amp;" "&amp;$M177&amp;"$"&amp;ABS($K177)&amp;" to $"&amp;$J177</f>
        <v/>
      </c>
      <c r="O177">
        <f>(J177/I177)*100</f>
        <v/>
      </c>
    </row>
    <row r="178" ht="15.5" customHeight="1">
      <c r="A178" s="14" t="n">
        <v>2598013</v>
      </c>
      <c r="B178" s="15" t="inlineStr">
        <is>
          <t>TBS - Retail Price</t>
        </is>
      </c>
      <c r="C178" s="15" t="inlineStr">
        <is>
          <t>LABATT BREWERIES OF CANADA LP</t>
        </is>
      </c>
      <c r="D178" s="15" t="inlineStr">
        <is>
          <t>STELLA ARTOIS</t>
        </is>
      </c>
      <c r="E178" s="14" t="inlineStr">
        <is>
          <t>Bottles</t>
        </is>
      </c>
      <c r="F178" s="14" t="n">
        <v>330</v>
      </c>
      <c r="G178" s="15" t="inlineStr">
        <is>
          <t>Bottles  330 ml</t>
        </is>
      </c>
      <c r="H178" s="14" t="n">
        <v>24</v>
      </c>
      <c r="I178" s="16" t="n">
        <v>44.99</v>
      </c>
      <c r="J178" s="16" t="n">
        <v>49.99</v>
      </c>
      <c r="K178" s="16" t="n">
        <v>5</v>
      </c>
      <c r="L178" s="1">
        <f>IF(F178&gt;355,"TC",LEFT(E178,1))</f>
        <v/>
      </c>
      <c r="M178" s="1">
        <f>IF(K178&gt;0,"+","-")</f>
        <v/>
      </c>
      <c r="N178">
        <f>PROPER($D178)&amp;" "&amp;$H178&amp;$L178&amp;" "&amp;$M178&amp;"$"&amp;ABS($K178)&amp;" to $"&amp;$J178</f>
        <v/>
      </c>
      <c r="O178">
        <f>(J178/I178)*100</f>
        <v/>
      </c>
    </row>
    <row r="179" ht="15.5" customHeight="1">
      <c r="A179" s="14" t="n">
        <v>1060172</v>
      </c>
      <c r="B179" s="15" t="inlineStr">
        <is>
          <t>TBS - Retail Price</t>
        </is>
      </c>
      <c r="C179" s="15" t="inlineStr">
        <is>
          <t>MOLSON COORS BEVERAGE COMPANY</t>
        </is>
      </c>
      <c r="D179" s="15" t="inlineStr">
        <is>
          <t>COORS LIGHT</t>
        </is>
      </c>
      <c r="E179" s="14" t="inlineStr">
        <is>
          <t>Cans</t>
        </is>
      </c>
      <c r="F179" s="14" t="n">
        <v>355</v>
      </c>
      <c r="G179" s="15" t="inlineStr">
        <is>
          <t>Cans  355 ml</t>
        </is>
      </c>
      <c r="H179" s="14" t="n">
        <v>30</v>
      </c>
      <c r="I179" s="16" t="n">
        <v>45.99</v>
      </c>
      <c r="J179" s="16" t="n">
        <v>50.99</v>
      </c>
      <c r="K179" s="16" t="n">
        <v>5</v>
      </c>
      <c r="L179" s="1">
        <f>IF(F179&gt;355,"TC",LEFT(E179,1))</f>
        <v/>
      </c>
      <c r="M179" s="1">
        <f>IF(K179&gt;0,"+","-")</f>
        <v/>
      </c>
      <c r="N179">
        <f>PROPER($D179)&amp;" "&amp;$H179&amp;$L179&amp;" "&amp;$M179&amp;"$"&amp;ABS($K179)&amp;" to $"&amp;$J179</f>
        <v/>
      </c>
      <c r="O179">
        <f>(J179/I179)*100</f>
        <v/>
      </c>
    </row>
    <row r="180" ht="15.5" customHeight="1">
      <c r="A180" s="14" t="n">
        <v>1065091</v>
      </c>
      <c r="B180" s="15" t="inlineStr">
        <is>
          <t>TBS - Licensee</t>
        </is>
      </c>
      <c r="C180" s="15" t="inlineStr">
        <is>
          <t>STEAM WHISTLE BREWING INC</t>
        </is>
      </c>
      <c r="D180" s="15" t="inlineStr">
        <is>
          <t>STEAM WHISTLE</t>
        </is>
      </c>
      <c r="E180" s="14" t="inlineStr">
        <is>
          <t>Keg</t>
        </is>
      </c>
      <c r="F180" s="14" t="n">
        <v>20000</v>
      </c>
      <c r="G180" s="15" t="inlineStr">
        <is>
          <t>20 L  Keg</t>
        </is>
      </c>
      <c r="H180" s="14" t="n">
        <v>1</v>
      </c>
      <c r="I180" s="16" t="n">
        <v>140.95</v>
      </c>
      <c r="J180" s="16" t="n">
        <v>145.95</v>
      </c>
      <c r="K180" s="16" t="n">
        <v>5</v>
      </c>
      <c r="L180" s="1">
        <f>IF(F180&gt;355,"TC",LEFT(E180,1))</f>
        <v/>
      </c>
      <c r="M180" s="1">
        <f>IF(K180&gt;0,"+","-")</f>
        <v/>
      </c>
      <c r="N180">
        <f>PROPER($D180)&amp;" "&amp;$H180&amp;$L180&amp;" "&amp;$M180&amp;"$"&amp;ABS($K180)&amp;" to $"&amp;$J180</f>
        <v/>
      </c>
      <c r="O180">
        <f>(J180/I180)*100</f>
        <v/>
      </c>
    </row>
    <row r="181" ht="15.5" customHeight="1">
      <c r="A181" s="14" t="n">
        <v>1065091</v>
      </c>
      <c r="B181" s="15" t="inlineStr">
        <is>
          <t>TBS - Retail Price</t>
        </is>
      </c>
      <c r="C181" s="15" t="inlineStr">
        <is>
          <t>STEAM WHISTLE BREWING INC</t>
        </is>
      </c>
      <c r="D181" s="15" t="inlineStr">
        <is>
          <t>STEAM WHISTLE</t>
        </is>
      </c>
      <c r="E181" s="14" t="inlineStr">
        <is>
          <t>Keg</t>
        </is>
      </c>
      <c r="F181" s="14" t="n">
        <v>20000</v>
      </c>
      <c r="G181" s="15" t="inlineStr">
        <is>
          <t>20 L  Keg</t>
        </is>
      </c>
      <c r="H181" s="14" t="n">
        <v>1</v>
      </c>
      <c r="I181" s="16" t="n">
        <v>140.95</v>
      </c>
      <c r="J181" s="16" t="n">
        <v>145.95</v>
      </c>
      <c r="K181" s="16" t="n">
        <v>5</v>
      </c>
      <c r="L181" s="1">
        <f>IF(F181&gt;355,"TC",LEFT(E181,1))</f>
        <v/>
      </c>
      <c r="M181" s="1">
        <f>IF(K181&gt;0,"+","-")</f>
        <v/>
      </c>
      <c r="N181">
        <f>PROPER($D181)&amp;" "&amp;$H181&amp;$L181&amp;" "&amp;$M181&amp;"$"&amp;ABS($K181)&amp;" to $"&amp;$J181</f>
        <v/>
      </c>
      <c r="O181">
        <f>(J181/I181)*100</f>
        <v/>
      </c>
    </row>
    <row r="182" ht="15.5" customHeight="1">
      <c r="A182" s="14" t="n">
        <v>3891482</v>
      </c>
      <c r="B182" s="15" t="inlineStr">
        <is>
          <t>TBS - Retail Price</t>
        </is>
      </c>
      <c r="C182" s="15" t="inlineStr">
        <is>
          <t>HEINEKEN CANADA INC</t>
        </is>
      </c>
      <c r="D182" s="15" t="inlineStr">
        <is>
          <t>HEINEKEN SILVER</t>
        </is>
      </c>
      <c r="E182" s="14" t="inlineStr">
        <is>
          <t>Cans</t>
        </is>
      </c>
      <c r="F182" s="14" t="n">
        <v>330</v>
      </c>
      <c r="G182" s="15" t="inlineStr">
        <is>
          <t>Cans  330 ml</t>
        </is>
      </c>
      <c r="H182" s="14" t="n">
        <v>24</v>
      </c>
      <c r="I182" s="16" t="n">
        <v>44.99</v>
      </c>
      <c r="J182" s="16" t="n">
        <v>50.69</v>
      </c>
      <c r="K182" s="16" t="n">
        <v>5.7</v>
      </c>
      <c r="L182" s="1">
        <f>IF(F182&gt;355,"TC",LEFT(E182,1))</f>
        <v/>
      </c>
      <c r="M182" s="1">
        <f>IF(K182&gt;0,"+","-")</f>
        <v/>
      </c>
      <c r="N182">
        <f>PROPER($D182)&amp;" "&amp;$H182&amp;$L182&amp;" "&amp;$M182&amp;"$"&amp;ABS($K182)&amp;" to $"&amp;$J182</f>
        <v/>
      </c>
      <c r="O182">
        <f>(J182/I182)*100</f>
        <v/>
      </c>
    </row>
    <row r="183" ht="15.5" customHeight="1">
      <c r="A183" s="14" t="n">
        <v>1873172</v>
      </c>
      <c r="B183" s="15" t="inlineStr">
        <is>
          <t>TBS - Retail Price</t>
        </is>
      </c>
      <c r="C183" s="15" t="inlineStr">
        <is>
          <t>MOLSON COORS BEVERAGE COMPANY</t>
        </is>
      </c>
      <c r="D183" s="15" t="inlineStr">
        <is>
          <t>MILLER LITE</t>
        </is>
      </c>
      <c r="E183" s="14" t="inlineStr">
        <is>
          <t>Cans</t>
        </is>
      </c>
      <c r="F183" s="14" t="n">
        <v>355</v>
      </c>
      <c r="G183" s="15" t="inlineStr">
        <is>
          <t>Cans  355 ml</t>
        </is>
      </c>
      <c r="H183" s="14" t="n">
        <v>30</v>
      </c>
      <c r="I183" s="16" t="n">
        <v>45.99</v>
      </c>
      <c r="J183" s="16" t="n">
        <v>51.99</v>
      </c>
      <c r="K183" s="16" t="n">
        <v>6</v>
      </c>
      <c r="L183" s="1">
        <f>IF(F183&gt;355,"TC",LEFT(E183,1))</f>
        <v/>
      </c>
      <c r="M183" s="1">
        <f>IF(K183&gt;0,"+","-")</f>
        <v/>
      </c>
      <c r="N183">
        <f>PROPER($D183)&amp;" "&amp;$H183&amp;$L183&amp;" "&amp;$M183&amp;"$"&amp;ABS($K183)&amp;" to $"&amp;$J183</f>
        <v/>
      </c>
      <c r="O183">
        <f>(J183/I183)*100</f>
        <v/>
      </c>
    </row>
    <row r="184" ht="15.5" customHeight="1">
      <c r="A184" s="14" t="n">
        <v>1933621</v>
      </c>
      <c r="B184" s="15" t="inlineStr">
        <is>
          <t>TBS - Licensee</t>
        </is>
      </c>
      <c r="C184" s="15" t="inlineStr">
        <is>
          <t>HUYGHE BROUWERIJ</t>
        </is>
      </c>
      <c r="D184" s="15" t="inlineStr">
        <is>
          <t>DELIRIUM RED</t>
        </is>
      </c>
      <c r="E184" s="14" t="inlineStr">
        <is>
          <t>Keg</t>
        </is>
      </c>
      <c r="F184" s="14" t="n">
        <v>20000</v>
      </c>
      <c r="G184" s="15" t="inlineStr">
        <is>
          <t>20 L  Keg</t>
        </is>
      </c>
      <c r="H184" s="14" t="n">
        <v>1</v>
      </c>
      <c r="I184" s="16" t="n">
        <v>207.92</v>
      </c>
      <c r="J184" s="16" t="n">
        <v>214.16</v>
      </c>
      <c r="K184" s="16" t="n">
        <v>6.24</v>
      </c>
      <c r="L184" s="1">
        <f>IF(F184&gt;355,"TC",LEFT(E184,1))</f>
        <v/>
      </c>
      <c r="M184" s="1">
        <f>IF(K184&gt;0,"+","-")</f>
        <v/>
      </c>
      <c r="N184">
        <f>PROPER($D184)&amp;" "&amp;$H184&amp;$L184&amp;" "&amp;$M184&amp;"$"&amp;ABS($K184)&amp;" to $"&amp;$J184</f>
        <v/>
      </c>
      <c r="O184">
        <f>(J184/I184)*100</f>
        <v/>
      </c>
    </row>
    <row r="185" ht="15.5" customHeight="1">
      <c r="A185" s="14" t="n">
        <v>3715041</v>
      </c>
      <c r="B185" s="15" t="inlineStr">
        <is>
          <t>TBS - Retail Price</t>
        </is>
      </c>
      <c r="C185" s="15" t="inlineStr">
        <is>
          <t>FARMERS CREED CORP</t>
        </is>
      </c>
      <c r="D185" s="15" t="inlineStr">
        <is>
          <t>ROUGH STOCK IPA</t>
        </is>
      </c>
      <c r="E185" s="14" t="inlineStr">
        <is>
          <t>Cans</t>
        </is>
      </c>
      <c r="F185" s="14" t="n">
        <v>473</v>
      </c>
      <c r="G185" s="15" t="inlineStr">
        <is>
          <t>Cans  473 ml</t>
        </is>
      </c>
      <c r="H185" s="14" t="n">
        <v>24</v>
      </c>
      <c r="I185" s="16" t="n">
        <v>62.99</v>
      </c>
      <c r="J185" s="16" t="n">
        <v>69.98999999999999</v>
      </c>
      <c r="K185" s="16" t="n">
        <v>7</v>
      </c>
      <c r="L185" s="1">
        <f>IF(F185&gt;355,"TC",LEFT(E185,1))</f>
        <v/>
      </c>
      <c r="M185" s="1">
        <f>IF(K185&gt;0,"+","-")</f>
        <v/>
      </c>
      <c r="N185">
        <f>PROPER($D185)&amp;" "&amp;$H185&amp;$L185&amp;" "&amp;$M185&amp;"$"&amp;ABS($K185)&amp;" to $"&amp;$J185</f>
        <v/>
      </c>
      <c r="O185">
        <f>(J185/I185)*100</f>
        <v/>
      </c>
    </row>
    <row r="186" ht="15.5" customHeight="1">
      <c r="A186" s="14" t="n">
        <v>1599211</v>
      </c>
      <c r="B186" s="15" t="inlineStr">
        <is>
          <t>TBS - Retail Price</t>
        </is>
      </c>
      <c r="C186" s="15" t="inlineStr">
        <is>
          <t>MUSKOKA COTTAGE BREWERY INC</t>
        </is>
      </c>
      <c r="D186" s="15" t="inlineStr">
        <is>
          <t>MUSKOKA DETOUR</t>
        </is>
      </c>
      <c r="E186" s="14" t="inlineStr">
        <is>
          <t>Cans</t>
        </is>
      </c>
      <c r="F186" s="14" t="n">
        <v>355</v>
      </c>
      <c r="G186" s="15" t="inlineStr">
        <is>
          <t>Cans  355 ml</t>
        </is>
      </c>
      <c r="H186" s="14" t="n">
        <v>48</v>
      </c>
      <c r="I186" s="16" t="n">
        <v>86.98999999999999</v>
      </c>
      <c r="J186" s="16" t="n">
        <v>94.98999999999999</v>
      </c>
      <c r="K186" s="16" t="n">
        <v>8</v>
      </c>
      <c r="L186" s="1">
        <f>IF(F186&gt;355,"TC",LEFT(E186,1))</f>
        <v/>
      </c>
      <c r="M186" s="1">
        <f>IF(K186&gt;0,"+","-")</f>
        <v/>
      </c>
      <c r="N186">
        <f>PROPER($D186)&amp;" "&amp;$H186&amp;$L186&amp;" "&amp;$M186&amp;"$"&amp;ABS($K186)&amp;" to $"&amp;$J186</f>
        <v/>
      </c>
      <c r="O186">
        <f>(J186/I186)*100</f>
        <v/>
      </c>
    </row>
    <row r="187" ht="15.5" customHeight="1">
      <c r="A187" s="14" t="n">
        <v>1709211</v>
      </c>
      <c r="B187" s="15" t="inlineStr">
        <is>
          <t>TBS - Retail Price</t>
        </is>
      </c>
      <c r="C187" s="15" t="inlineStr">
        <is>
          <t>BEAU'S ALL NATURAL BREWING CO LTD</t>
        </is>
      </c>
      <c r="D187" s="15" t="inlineStr">
        <is>
          <t>BEAU'S LUG TREAD</t>
        </is>
      </c>
      <c r="E187" s="14" t="inlineStr">
        <is>
          <t>Cans</t>
        </is>
      </c>
      <c r="F187" s="14" t="n">
        <v>355</v>
      </c>
      <c r="G187" s="15" t="inlineStr">
        <is>
          <t>Cans  355 ml</t>
        </is>
      </c>
      <c r="H187" s="14" t="n">
        <v>48</v>
      </c>
      <c r="I187" s="16" t="n">
        <v>84.79000000000001</v>
      </c>
      <c r="J187" s="16" t="n">
        <v>94.79000000000001</v>
      </c>
      <c r="K187" s="16" t="n">
        <v>10</v>
      </c>
      <c r="L187" s="1">
        <f>IF(F187&gt;355,"TC",LEFT(E187,1))</f>
        <v/>
      </c>
      <c r="M187" s="1">
        <f>IF(K187&gt;0,"+","-")</f>
        <v/>
      </c>
      <c r="N187">
        <f>PROPER($D187)&amp;" "&amp;$H187&amp;$L187&amp;" "&amp;$M187&amp;"$"&amp;ABS($K187)&amp;" to $"&amp;$J187</f>
        <v/>
      </c>
      <c r="O187">
        <f>(J187/I187)*100</f>
        <v/>
      </c>
    </row>
    <row r="188" ht="15.5" customHeight="1">
      <c r="A188" s="14" t="n">
        <v>1496224</v>
      </c>
      <c r="B188" s="15" t="inlineStr">
        <is>
          <t>TBS - Retail Price</t>
        </is>
      </c>
      <c r="C188" s="15" t="inlineStr">
        <is>
          <t>SLEEMAN BREWERIES LTD</t>
        </is>
      </c>
      <c r="D188" s="15" t="inlineStr">
        <is>
          <t>PABST BLUE RIBBON</t>
        </is>
      </c>
      <c r="E188" s="14" t="inlineStr">
        <is>
          <t>Cans</t>
        </is>
      </c>
      <c r="F188" s="14" t="n">
        <v>355</v>
      </c>
      <c r="G188" s="15" t="inlineStr">
        <is>
          <t>Cans  355 ml</t>
        </is>
      </c>
      <c r="H188" s="14" t="n">
        <v>60</v>
      </c>
      <c r="I188" s="16" t="n">
        <v>80.98999999999999</v>
      </c>
      <c r="J188" s="16" t="n">
        <v>90.98999999999999</v>
      </c>
      <c r="K188" s="16" t="n">
        <v>10</v>
      </c>
      <c r="L188" s="1">
        <f>IF(F188&gt;355,"TC",LEFT(E188,1))</f>
        <v/>
      </c>
      <c r="M188" s="1">
        <f>IF(K188&gt;0,"+","-")</f>
        <v/>
      </c>
      <c r="N188">
        <f>PROPER($D188)&amp;" "&amp;$H188&amp;$L188&amp;" "&amp;$M188&amp;"$"&amp;ABS($K188)&amp;" to $"&amp;$J188</f>
        <v/>
      </c>
      <c r="O188">
        <f>(J188/I188)*100</f>
        <v/>
      </c>
    </row>
    <row r="189" ht="15.5" customHeight="1">
      <c r="A189" s="14" t="n">
        <v>1065211</v>
      </c>
      <c r="B189" s="15" t="inlineStr">
        <is>
          <t>TBS - Retail Price</t>
        </is>
      </c>
      <c r="C189" s="15" t="inlineStr">
        <is>
          <t>STEAM WHISTLE BREWING INC</t>
        </is>
      </c>
      <c r="D189" s="15" t="inlineStr">
        <is>
          <t>STEAM WHISTLE</t>
        </is>
      </c>
      <c r="E189" s="14" t="inlineStr">
        <is>
          <t>Cans</t>
        </is>
      </c>
      <c r="F189" s="14" t="n">
        <v>355</v>
      </c>
      <c r="G189" s="15" t="inlineStr">
        <is>
          <t>Cans  355 ml</t>
        </is>
      </c>
      <c r="H189" s="14" t="n">
        <v>48</v>
      </c>
      <c r="I189" s="16" t="n">
        <v>82.98999999999999</v>
      </c>
      <c r="J189" s="16" t="n">
        <v>92.98999999999999</v>
      </c>
      <c r="K189" s="16" t="n">
        <v>10</v>
      </c>
      <c r="L189" s="1">
        <f>IF(F189&gt;355,"TC",LEFT(E189,1))</f>
        <v/>
      </c>
      <c r="M189" s="1">
        <f>IF(K189&gt;0,"+","-")</f>
        <v/>
      </c>
      <c r="N189">
        <f>PROPER($D189)&amp;" "&amp;$H189&amp;$L189&amp;" "&amp;$M189&amp;"$"&amp;ABS($K189)&amp;" to $"&amp;$J189</f>
        <v/>
      </c>
      <c r="O189">
        <f>(J189/I189)*100</f>
        <v/>
      </c>
    </row>
    <row r="190" ht="15.5" customHeight="1">
      <c r="A190" s="14" t="n">
        <v>1363130</v>
      </c>
      <c r="B190" s="15" t="inlineStr">
        <is>
          <t>TBS - Retail Price</t>
        </is>
      </c>
      <c r="C190" s="15" t="inlineStr">
        <is>
          <t>BITBURGER BRAUGRUPPE GMBH</t>
        </is>
      </c>
      <c r="D190" s="15" t="inlineStr">
        <is>
          <t>BENEDIKTINER WEISS</t>
        </is>
      </c>
      <c r="E190" s="14" t="inlineStr">
        <is>
          <t>Cans</t>
        </is>
      </c>
      <c r="F190" s="14" t="n">
        <v>500</v>
      </c>
      <c r="G190" s="15" t="inlineStr">
        <is>
          <t>Cans  500 ml</t>
        </is>
      </c>
      <c r="H190" s="14" t="n">
        <v>24</v>
      </c>
      <c r="I190" s="16" t="n">
        <v>0</v>
      </c>
      <c r="J190" s="16" t="n">
        <v>59.82</v>
      </c>
      <c r="K190" s="16" t="n">
        <v>59.82</v>
      </c>
      <c r="L190" s="1">
        <f>IF(F190&gt;355,"TC",LEFT(E190,1))</f>
        <v/>
      </c>
      <c r="M190" s="1">
        <f>IF(K190&gt;0,"+","-")</f>
        <v/>
      </c>
      <c r="N190">
        <f>PROPER($D190)&amp;" "&amp;$H190&amp;$L190&amp;" "&amp;$M190&amp;"$"&amp;ABS($K190)&amp;" to $"&amp;$J190</f>
        <v/>
      </c>
      <c r="O190">
        <f>(J190/I190)*100</f>
        <v/>
      </c>
    </row>
  </sheetData>
  <autoFilter ref="A8:M190"/>
  <mergeCells count="2">
    <mergeCell ref="D2:G2"/>
    <mergeCell ref="D3:G3"/>
  </mergeCells>
  <pageMargins left="0.2" right="0.2" top="0.25" bottom="0.4" header="0.3" footer="0.3"/>
  <pageSetup orientation="portrait" scale="52" fitToHeight="0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2:F2"/>
  <sheetViews>
    <sheetView tabSelected="1" workbookViewId="0">
      <selection activeCell="D4" sqref="D4:H4"/>
    </sheetView>
  </sheetViews>
  <sheetFormatPr baseColWidth="8" defaultRowHeight="14.5"/>
  <sheetData>
    <row r="2">
      <c r="F2" t="inlineStr">
        <is>
          <t>overall validator crew (overall validation)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Canton, Maria</dc:creator>
  <dcterms:created xmlns:dcterms="http://purl.org/dc/terms/" xmlns:xsi="http://www.w3.org/2001/XMLSchema-instance" xsi:type="dcterms:W3CDTF">2025-10-06T10:46:30Z</dcterms:created>
  <dcterms:modified xmlns:dcterms="http://purl.org/dc/terms/" xmlns:xsi="http://www.w3.org/2001/XMLSchema-instance" xsi:type="dcterms:W3CDTF">2025-12-31T05:03:26Z</dcterms:modified>
  <cp:lastModifiedBy>Singhal, Aaditya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0x0101003BD24DCF8EBA2A459A3767B75ECBC810</vt:lpwstr>
  </property>
  <property name="CustomUiType" fmtid="{D5CDD505-2E9C-101B-9397-08002B2CF9AE}" pid="3">
    <vt:lpwstr xmlns:vt="http://schemas.openxmlformats.org/officeDocument/2006/docPropsVTypes">2</vt:lpwstr>
  </property>
  <property name="MediaServiceImageTags" fmtid="{D5CDD505-2E9C-101B-9397-08002B2CF9AE}" pid="4">
    <vt:lpwstr xmlns:vt="http://schemas.openxmlformats.org/officeDocument/2006/docPropsVTypes"/>
  </property>
  <property name="MSIP_Label_68104b14-b53d-46de-9ae8-975cc0e84815_Enabled" fmtid="{D5CDD505-2E9C-101B-9397-08002B2CF9AE}" pid="5">
    <vt:lpwstr xmlns:vt="http://schemas.openxmlformats.org/officeDocument/2006/docPropsVTypes">true</vt:lpwstr>
  </property>
  <property name="MSIP_Label_68104b14-b53d-46de-9ae8-975cc0e84815_SetDate" fmtid="{D5CDD505-2E9C-101B-9397-08002B2CF9AE}" pid="6">
    <vt:lpwstr xmlns:vt="http://schemas.openxmlformats.org/officeDocument/2006/docPropsVTypes">2025-10-31T19:52:30Z</vt:lpwstr>
  </property>
  <property name="MSIP_Label_68104b14-b53d-46de-9ae8-975cc0e84815_Method" fmtid="{D5CDD505-2E9C-101B-9397-08002B2CF9AE}" pid="7">
    <vt:lpwstr xmlns:vt="http://schemas.openxmlformats.org/officeDocument/2006/docPropsVTypes">Standard</vt:lpwstr>
  </property>
  <property name="MSIP_Label_68104b14-b53d-46de-9ae8-975cc0e84815_Name" fmtid="{D5CDD505-2E9C-101B-9397-08002B2CF9AE}" pid="8">
    <vt:lpwstr xmlns:vt="http://schemas.openxmlformats.org/officeDocument/2006/docPropsVTypes">ABI_MIP_InternalUseOnly</vt:lpwstr>
  </property>
  <property name="MSIP_Label_68104b14-b53d-46de-9ae8-975cc0e84815_SiteId" fmtid="{D5CDD505-2E9C-101B-9397-08002B2CF9AE}" pid="9">
    <vt:lpwstr xmlns:vt="http://schemas.openxmlformats.org/officeDocument/2006/docPropsVTypes">cef04b19-7776-4a94-b89b-375c77a8f936</vt:lpwstr>
  </property>
  <property name="MSIP_Label_68104b14-b53d-46de-9ae8-975cc0e84815_ActionId" fmtid="{D5CDD505-2E9C-101B-9397-08002B2CF9AE}" pid="10">
    <vt:lpwstr xmlns:vt="http://schemas.openxmlformats.org/officeDocument/2006/docPropsVTypes">029e25eb-2cf5-4140-b2f4-81c6b8efe314</vt:lpwstr>
  </property>
  <property name="MSIP_Label_68104b14-b53d-46de-9ae8-975cc0e84815_ContentBits" fmtid="{D5CDD505-2E9C-101B-9397-08002B2CF9AE}" pid="11">
    <vt:lpwstr xmlns:vt="http://schemas.openxmlformats.org/officeDocument/2006/docPropsVTypes">0</vt:lpwstr>
  </property>
  <property name="MSIP_Label_68104b14-b53d-46de-9ae8-975cc0e84815_Tag" fmtid="{D5CDD505-2E9C-101B-9397-08002B2CF9AE}" pid="12">
    <vt:lpwstr xmlns:vt="http://schemas.openxmlformats.org/officeDocument/2006/docPropsVTypes">10, 3, 0, 1</vt:lpwstr>
  </property>
</Properties>
</file>