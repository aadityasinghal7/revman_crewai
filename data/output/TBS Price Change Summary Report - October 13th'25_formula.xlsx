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output/"/>
    </mc:Choice>
  </mc:AlternateContent>
  <xr:revisionPtr revIDLastSave="1" documentId="11_355E5FFC6EAEF8C3E80A35B717FF9866AA973398" xr6:coauthVersionLast="47" xr6:coauthVersionMax="47" xr10:uidLastSave="{2789FAF5-EAB3-4277-8B64-8BCA21750945}"/>
  <bookViews>
    <workbookView xWindow="-110" yWindow="-110" windowWidth="19420" windowHeight="10300" xr2:uid="{00000000-000D-0000-FFFF-FFFF00000000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0" i="1" l="1"/>
  <c r="N190" i="1"/>
  <c r="M190" i="1"/>
  <c r="L190" i="1"/>
  <c r="O189" i="1"/>
  <c r="M189" i="1"/>
  <c r="L189" i="1"/>
  <c r="N189" i="1" s="1"/>
  <c r="O188" i="1"/>
  <c r="M188" i="1"/>
  <c r="N188" i="1" s="1"/>
  <c r="L188" i="1"/>
  <c r="O187" i="1"/>
  <c r="M187" i="1"/>
  <c r="L187" i="1"/>
  <c r="N187" i="1" s="1"/>
  <c r="O186" i="1"/>
  <c r="M186" i="1"/>
  <c r="L186" i="1"/>
  <c r="N186" i="1" s="1"/>
  <c r="O185" i="1"/>
  <c r="M185" i="1"/>
  <c r="L185" i="1"/>
  <c r="N185" i="1" s="1"/>
  <c r="O184" i="1"/>
  <c r="M184" i="1"/>
  <c r="L184" i="1"/>
  <c r="N184" i="1" s="1"/>
  <c r="O183" i="1"/>
  <c r="M183" i="1"/>
  <c r="L183" i="1"/>
  <c r="N183" i="1" s="1"/>
  <c r="O182" i="1"/>
  <c r="M182" i="1"/>
  <c r="L182" i="1"/>
  <c r="N182" i="1" s="1"/>
  <c r="O181" i="1"/>
  <c r="M181" i="1"/>
  <c r="L181" i="1"/>
  <c r="N181" i="1" s="1"/>
  <c r="O180" i="1"/>
  <c r="M180" i="1"/>
  <c r="L180" i="1"/>
  <c r="N180" i="1" s="1"/>
  <c r="O179" i="1"/>
  <c r="M179" i="1"/>
  <c r="L179" i="1"/>
  <c r="N179" i="1" s="1"/>
  <c r="O178" i="1"/>
  <c r="M178" i="1"/>
  <c r="L178" i="1"/>
  <c r="N178" i="1" s="1"/>
  <c r="O177" i="1"/>
  <c r="M177" i="1"/>
  <c r="L177" i="1"/>
  <c r="N177" i="1" s="1"/>
  <c r="O176" i="1"/>
  <c r="M176" i="1"/>
  <c r="L176" i="1"/>
  <c r="N176" i="1" s="1"/>
  <c r="O175" i="1"/>
  <c r="M175" i="1"/>
  <c r="L175" i="1"/>
  <c r="N175" i="1" s="1"/>
  <c r="O174" i="1"/>
  <c r="M174" i="1"/>
  <c r="L174" i="1"/>
  <c r="N174" i="1" s="1"/>
  <c r="O173" i="1"/>
  <c r="M173" i="1"/>
  <c r="L173" i="1"/>
  <c r="N173" i="1" s="1"/>
  <c r="O172" i="1"/>
  <c r="M172" i="1"/>
  <c r="L172" i="1"/>
  <c r="N172" i="1" s="1"/>
  <c r="O171" i="1"/>
  <c r="M171" i="1"/>
  <c r="L171" i="1"/>
  <c r="N171" i="1" s="1"/>
  <c r="O170" i="1"/>
  <c r="M170" i="1"/>
  <c r="L170" i="1"/>
  <c r="N170" i="1" s="1"/>
  <c r="O169" i="1"/>
  <c r="M169" i="1"/>
  <c r="L169" i="1"/>
  <c r="N169" i="1" s="1"/>
  <c r="O168" i="1"/>
  <c r="M168" i="1"/>
  <c r="L168" i="1"/>
  <c r="N168" i="1" s="1"/>
  <c r="O167" i="1"/>
  <c r="M167" i="1"/>
  <c r="L167" i="1"/>
  <c r="N167" i="1" s="1"/>
  <c r="O166" i="1"/>
  <c r="M166" i="1"/>
  <c r="L166" i="1"/>
  <c r="N166" i="1" s="1"/>
  <c r="O165" i="1"/>
  <c r="M165" i="1"/>
  <c r="L165" i="1"/>
  <c r="N165" i="1" s="1"/>
  <c r="O164" i="1"/>
  <c r="M164" i="1"/>
  <c r="L164" i="1"/>
  <c r="N164" i="1" s="1"/>
  <c r="O163" i="1"/>
  <c r="M163" i="1"/>
  <c r="L163" i="1"/>
  <c r="N163" i="1" s="1"/>
  <c r="O162" i="1"/>
  <c r="M162" i="1"/>
  <c r="L162" i="1"/>
  <c r="N162" i="1" s="1"/>
  <c r="O161" i="1"/>
  <c r="M161" i="1"/>
  <c r="L161" i="1"/>
  <c r="N161" i="1" s="1"/>
  <c r="O160" i="1"/>
  <c r="M160" i="1"/>
  <c r="L160" i="1"/>
  <c r="N160" i="1" s="1"/>
  <c r="O159" i="1"/>
  <c r="M159" i="1"/>
  <c r="L159" i="1"/>
  <c r="N159" i="1" s="1"/>
  <c r="O158" i="1"/>
  <c r="M158" i="1"/>
  <c r="L158" i="1"/>
  <c r="N158" i="1" s="1"/>
  <c r="O157" i="1"/>
  <c r="M157" i="1"/>
  <c r="L157" i="1"/>
  <c r="N157" i="1" s="1"/>
  <c r="O156" i="1"/>
  <c r="M156" i="1"/>
  <c r="L156" i="1"/>
  <c r="N156" i="1" s="1"/>
  <c r="O155" i="1"/>
  <c r="M155" i="1"/>
  <c r="L155" i="1"/>
  <c r="N155" i="1" s="1"/>
  <c r="O154" i="1"/>
  <c r="M154" i="1"/>
  <c r="L154" i="1"/>
  <c r="N154" i="1" s="1"/>
  <c r="O153" i="1"/>
  <c r="M153" i="1"/>
  <c r="L153" i="1"/>
  <c r="N153" i="1" s="1"/>
  <c r="O152" i="1"/>
  <c r="M152" i="1"/>
  <c r="L152" i="1"/>
  <c r="N152" i="1" s="1"/>
  <c r="O151" i="1"/>
  <c r="M151" i="1"/>
  <c r="L151" i="1"/>
  <c r="N151" i="1" s="1"/>
  <c r="O150" i="1"/>
  <c r="M150" i="1"/>
  <c r="L150" i="1"/>
  <c r="N150" i="1" s="1"/>
  <c r="O149" i="1"/>
  <c r="M149" i="1"/>
  <c r="L149" i="1"/>
  <c r="N149" i="1" s="1"/>
  <c r="O148" i="1"/>
  <c r="M148" i="1"/>
  <c r="L148" i="1"/>
  <c r="N148" i="1" s="1"/>
  <c r="O147" i="1"/>
  <c r="M147" i="1"/>
  <c r="L147" i="1"/>
  <c r="N147" i="1" s="1"/>
  <c r="O146" i="1"/>
  <c r="M146" i="1"/>
  <c r="L146" i="1"/>
  <c r="N146" i="1" s="1"/>
  <c r="O145" i="1"/>
  <c r="M145" i="1"/>
  <c r="L145" i="1"/>
  <c r="N145" i="1" s="1"/>
  <c r="O144" i="1"/>
  <c r="M144" i="1"/>
  <c r="L144" i="1"/>
  <c r="N144" i="1" s="1"/>
  <c r="O143" i="1"/>
  <c r="M143" i="1"/>
  <c r="L143" i="1"/>
  <c r="N143" i="1" s="1"/>
  <c r="O142" i="1"/>
  <c r="M142" i="1"/>
  <c r="L142" i="1"/>
  <c r="N142" i="1" s="1"/>
  <c r="O141" i="1"/>
  <c r="M141" i="1"/>
  <c r="L141" i="1"/>
  <c r="N141" i="1" s="1"/>
  <c r="O140" i="1"/>
  <c r="M140" i="1"/>
  <c r="L140" i="1"/>
  <c r="N140" i="1" s="1"/>
  <c r="O139" i="1"/>
  <c r="M139" i="1"/>
  <c r="L139" i="1"/>
  <c r="N139" i="1" s="1"/>
  <c r="O138" i="1"/>
  <c r="M138" i="1"/>
  <c r="L138" i="1"/>
  <c r="N138" i="1" s="1"/>
  <c r="O137" i="1"/>
  <c r="M137" i="1"/>
  <c r="L137" i="1"/>
  <c r="N137" i="1" s="1"/>
  <c r="O136" i="1"/>
  <c r="M136" i="1"/>
  <c r="L136" i="1"/>
  <c r="N136" i="1" s="1"/>
  <c r="O135" i="1"/>
  <c r="M135" i="1"/>
  <c r="L135" i="1"/>
  <c r="N135" i="1" s="1"/>
  <c r="O134" i="1"/>
  <c r="M134" i="1"/>
  <c r="L134" i="1"/>
  <c r="N134" i="1" s="1"/>
  <c r="O133" i="1"/>
  <c r="M133" i="1"/>
  <c r="L133" i="1"/>
  <c r="N133" i="1" s="1"/>
  <c r="O132" i="1"/>
  <c r="M132" i="1"/>
  <c r="L132" i="1"/>
  <c r="N132" i="1" s="1"/>
  <c r="O131" i="1"/>
  <c r="M131" i="1"/>
  <c r="L131" i="1"/>
  <c r="N131" i="1" s="1"/>
  <c r="O130" i="1"/>
  <c r="M130" i="1"/>
  <c r="L130" i="1"/>
  <c r="N130" i="1" s="1"/>
  <c r="O129" i="1"/>
  <c r="M129" i="1"/>
  <c r="L129" i="1"/>
  <c r="N129" i="1" s="1"/>
  <c r="O128" i="1"/>
  <c r="M128" i="1"/>
  <c r="L128" i="1"/>
  <c r="N128" i="1" s="1"/>
  <c r="O127" i="1"/>
  <c r="M127" i="1"/>
  <c r="L127" i="1"/>
  <c r="N127" i="1" s="1"/>
  <c r="O126" i="1"/>
  <c r="M126" i="1"/>
  <c r="L126" i="1"/>
  <c r="N126" i="1" s="1"/>
  <c r="O125" i="1"/>
  <c r="M125" i="1"/>
  <c r="L125" i="1"/>
  <c r="N125" i="1" s="1"/>
  <c r="O124" i="1"/>
  <c r="M124" i="1"/>
  <c r="L124" i="1"/>
  <c r="N124" i="1" s="1"/>
  <c r="O123" i="1"/>
  <c r="M123" i="1"/>
  <c r="L123" i="1"/>
  <c r="N123" i="1" s="1"/>
  <c r="O122" i="1"/>
  <c r="M122" i="1"/>
  <c r="L122" i="1"/>
  <c r="N122" i="1" s="1"/>
  <c r="O121" i="1"/>
  <c r="M121" i="1"/>
  <c r="L121" i="1"/>
  <c r="N121" i="1" s="1"/>
  <c r="O120" i="1"/>
  <c r="M120" i="1"/>
  <c r="L120" i="1"/>
  <c r="N120" i="1" s="1"/>
  <c r="O119" i="1"/>
  <c r="M119" i="1"/>
  <c r="L119" i="1"/>
  <c r="N119" i="1" s="1"/>
  <c r="O118" i="1"/>
  <c r="M118" i="1"/>
  <c r="L118" i="1"/>
  <c r="N118" i="1" s="1"/>
  <c r="O117" i="1"/>
  <c r="M117" i="1"/>
  <c r="L117" i="1"/>
  <c r="N117" i="1" s="1"/>
  <c r="O116" i="1"/>
  <c r="M116" i="1"/>
  <c r="L116" i="1"/>
  <c r="N116" i="1" s="1"/>
  <c r="O115" i="1"/>
  <c r="M115" i="1"/>
  <c r="L115" i="1"/>
  <c r="N115" i="1" s="1"/>
  <c r="O114" i="1"/>
  <c r="M114" i="1"/>
  <c r="L114" i="1"/>
  <c r="N114" i="1" s="1"/>
  <c r="O113" i="1"/>
  <c r="M113" i="1"/>
  <c r="L113" i="1"/>
  <c r="N113" i="1" s="1"/>
  <c r="O112" i="1"/>
  <c r="M112" i="1"/>
  <c r="L112" i="1"/>
  <c r="N112" i="1" s="1"/>
  <c r="O111" i="1"/>
  <c r="M111" i="1"/>
  <c r="L111" i="1"/>
  <c r="N111" i="1" s="1"/>
  <c r="O110" i="1"/>
  <c r="M110" i="1"/>
  <c r="L110" i="1"/>
  <c r="N110" i="1" s="1"/>
  <c r="O109" i="1"/>
  <c r="M109" i="1"/>
  <c r="L109" i="1"/>
  <c r="N109" i="1" s="1"/>
  <c r="O108" i="1"/>
  <c r="M108" i="1"/>
  <c r="L108" i="1"/>
  <c r="N108" i="1" s="1"/>
  <c r="O107" i="1"/>
  <c r="M107" i="1"/>
  <c r="L107" i="1"/>
  <c r="N107" i="1" s="1"/>
  <c r="O106" i="1"/>
  <c r="M106" i="1"/>
  <c r="L106" i="1"/>
  <c r="N106" i="1" s="1"/>
  <c r="O105" i="1"/>
  <c r="M105" i="1"/>
  <c r="L105" i="1"/>
  <c r="N105" i="1" s="1"/>
  <c r="O104" i="1"/>
  <c r="M104" i="1"/>
  <c r="L104" i="1"/>
  <c r="N104" i="1" s="1"/>
  <c r="O103" i="1"/>
  <c r="M103" i="1"/>
  <c r="L103" i="1"/>
  <c r="N103" i="1" s="1"/>
  <c r="O102" i="1"/>
  <c r="M102" i="1"/>
  <c r="L102" i="1"/>
  <c r="N102" i="1" s="1"/>
  <c r="O101" i="1"/>
  <c r="M101" i="1"/>
  <c r="L101" i="1"/>
  <c r="N101" i="1" s="1"/>
  <c r="O100" i="1"/>
  <c r="M100" i="1"/>
  <c r="L100" i="1"/>
  <c r="N100" i="1" s="1"/>
  <c r="O99" i="1"/>
  <c r="M99" i="1"/>
  <c r="L99" i="1"/>
  <c r="N99" i="1" s="1"/>
  <c r="O98" i="1"/>
  <c r="M98" i="1"/>
  <c r="L98" i="1"/>
  <c r="N98" i="1" s="1"/>
  <c r="O97" i="1"/>
  <c r="M97" i="1"/>
  <c r="L97" i="1"/>
  <c r="N97" i="1" s="1"/>
  <c r="O96" i="1"/>
  <c r="M96" i="1"/>
  <c r="L96" i="1"/>
  <c r="N96" i="1" s="1"/>
  <c r="O95" i="1"/>
  <c r="M95" i="1"/>
  <c r="L95" i="1"/>
  <c r="N95" i="1" s="1"/>
  <c r="O94" i="1"/>
  <c r="M94" i="1"/>
  <c r="L94" i="1"/>
  <c r="N94" i="1" s="1"/>
  <c r="O93" i="1"/>
  <c r="M93" i="1"/>
  <c r="L93" i="1"/>
  <c r="N93" i="1" s="1"/>
  <c r="O92" i="1"/>
  <c r="M92" i="1"/>
  <c r="L92" i="1"/>
  <c r="N92" i="1" s="1"/>
  <c r="O91" i="1"/>
  <c r="M91" i="1"/>
  <c r="L91" i="1"/>
  <c r="N91" i="1" s="1"/>
  <c r="O90" i="1"/>
  <c r="M90" i="1"/>
  <c r="L90" i="1"/>
  <c r="N90" i="1" s="1"/>
  <c r="O89" i="1"/>
  <c r="M89" i="1"/>
  <c r="L89" i="1"/>
  <c r="N89" i="1" s="1"/>
  <c r="O88" i="1"/>
  <c r="M88" i="1"/>
  <c r="L88" i="1"/>
  <c r="N88" i="1" s="1"/>
  <c r="O87" i="1"/>
  <c r="M87" i="1"/>
  <c r="L87" i="1"/>
  <c r="N87" i="1" s="1"/>
  <c r="O86" i="1"/>
  <c r="M86" i="1"/>
  <c r="L86" i="1"/>
  <c r="N86" i="1" s="1"/>
  <c r="O85" i="1"/>
  <c r="M85" i="1"/>
  <c r="L85" i="1"/>
  <c r="N85" i="1" s="1"/>
  <c r="O84" i="1"/>
  <c r="M84" i="1"/>
  <c r="L84" i="1"/>
  <c r="N84" i="1" s="1"/>
  <c r="O83" i="1"/>
  <c r="M83" i="1"/>
  <c r="L83" i="1"/>
  <c r="N83" i="1" s="1"/>
  <c r="O82" i="1"/>
  <c r="M82" i="1"/>
  <c r="L82" i="1"/>
  <c r="N82" i="1" s="1"/>
  <c r="O81" i="1"/>
  <c r="M81" i="1"/>
  <c r="L81" i="1"/>
  <c r="N81" i="1" s="1"/>
  <c r="O80" i="1"/>
  <c r="M80" i="1"/>
  <c r="L80" i="1"/>
  <c r="N80" i="1" s="1"/>
  <c r="O79" i="1"/>
  <c r="M79" i="1"/>
  <c r="L79" i="1"/>
  <c r="N79" i="1" s="1"/>
  <c r="O78" i="1"/>
  <c r="M78" i="1"/>
  <c r="L78" i="1"/>
  <c r="N78" i="1" s="1"/>
  <c r="O77" i="1"/>
  <c r="M77" i="1"/>
  <c r="L77" i="1"/>
  <c r="N77" i="1" s="1"/>
  <c r="O76" i="1"/>
  <c r="M76" i="1"/>
  <c r="L76" i="1"/>
  <c r="N76" i="1" s="1"/>
  <c r="O75" i="1"/>
  <c r="M75" i="1"/>
  <c r="L75" i="1"/>
  <c r="N75" i="1" s="1"/>
  <c r="O74" i="1"/>
  <c r="M74" i="1"/>
  <c r="L74" i="1"/>
  <c r="N74" i="1" s="1"/>
  <c r="O73" i="1"/>
  <c r="M73" i="1"/>
  <c r="L73" i="1"/>
  <c r="N73" i="1" s="1"/>
  <c r="O72" i="1"/>
  <c r="M72" i="1"/>
  <c r="L72" i="1"/>
  <c r="N72" i="1" s="1"/>
  <c r="O71" i="1"/>
  <c r="M71" i="1"/>
  <c r="L71" i="1"/>
  <c r="N71" i="1" s="1"/>
  <c r="O70" i="1"/>
  <c r="M70" i="1"/>
  <c r="L70" i="1"/>
  <c r="N70" i="1" s="1"/>
  <c r="O69" i="1"/>
  <c r="M69" i="1"/>
  <c r="L69" i="1"/>
  <c r="N69" i="1" s="1"/>
  <c r="O68" i="1"/>
  <c r="M68" i="1"/>
  <c r="L68" i="1"/>
  <c r="N68" i="1" s="1"/>
  <c r="O67" i="1"/>
  <c r="M67" i="1"/>
  <c r="L67" i="1"/>
  <c r="N67" i="1" s="1"/>
  <c r="O66" i="1"/>
  <c r="M66" i="1"/>
  <c r="L66" i="1"/>
  <c r="N66" i="1" s="1"/>
  <c r="O65" i="1"/>
  <c r="M65" i="1"/>
  <c r="L65" i="1"/>
  <c r="N65" i="1" s="1"/>
  <c r="O64" i="1"/>
  <c r="M64" i="1"/>
  <c r="L64" i="1"/>
  <c r="N64" i="1" s="1"/>
  <c r="O63" i="1"/>
  <c r="M63" i="1"/>
  <c r="L63" i="1"/>
  <c r="N63" i="1" s="1"/>
  <c r="O62" i="1"/>
  <c r="M62" i="1"/>
  <c r="L62" i="1"/>
  <c r="N62" i="1" s="1"/>
  <c r="O61" i="1"/>
  <c r="M61" i="1"/>
  <c r="L61" i="1"/>
  <c r="N61" i="1" s="1"/>
  <c r="O60" i="1"/>
  <c r="M60" i="1"/>
  <c r="L60" i="1"/>
  <c r="N60" i="1" s="1"/>
  <c r="O59" i="1"/>
  <c r="M59" i="1"/>
  <c r="L59" i="1"/>
  <c r="N59" i="1" s="1"/>
  <c r="O58" i="1"/>
  <c r="M58" i="1"/>
  <c r="L58" i="1"/>
  <c r="N58" i="1" s="1"/>
  <c r="O57" i="1"/>
  <c r="M57" i="1"/>
  <c r="L57" i="1"/>
  <c r="N57" i="1" s="1"/>
  <c r="O56" i="1"/>
  <c r="M56" i="1"/>
  <c r="L56" i="1"/>
  <c r="N56" i="1" s="1"/>
  <c r="O55" i="1"/>
  <c r="M55" i="1"/>
  <c r="L55" i="1"/>
  <c r="N55" i="1" s="1"/>
  <c r="O54" i="1"/>
  <c r="M54" i="1"/>
  <c r="L54" i="1"/>
  <c r="N54" i="1" s="1"/>
  <c r="O53" i="1"/>
  <c r="M53" i="1"/>
  <c r="L53" i="1"/>
  <c r="N53" i="1" s="1"/>
  <c r="O52" i="1"/>
  <c r="M52" i="1"/>
  <c r="L52" i="1"/>
  <c r="N52" i="1" s="1"/>
  <c r="O51" i="1"/>
  <c r="M51" i="1"/>
  <c r="L51" i="1"/>
  <c r="N51" i="1" s="1"/>
  <c r="O50" i="1"/>
  <c r="M50" i="1"/>
  <c r="L50" i="1"/>
  <c r="N50" i="1" s="1"/>
  <c r="O49" i="1"/>
  <c r="M49" i="1"/>
  <c r="L49" i="1"/>
  <c r="N49" i="1" s="1"/>
  <c r="O48" i="1"/>
  <c r="M48" i="1"/>
  <c r="L48" i="1"/>
  <c r="N48" i="1" s="1"/>
  <c r="O47" i="1"/>
  <c r="M47" i="1"/>
  <c r="L47" i="1"/>
  <c r="N47" i="1" s="1"/>
  <c r="O46" i="1"/>
  <c r="M46" i="1"/>
  <c r="L46" i="1"/>
  <c r="N46" i="1" s="1"/>
  <c r="O45" i="1"/>
  <c r="M45" i="1"/>
  <c r="L45" i="1"/>
  <c r="N45" i="1" s="1"/>
  <c r="O44" i="1"/>
  <c r="M44" i="1"/>
  <c r="L44" i="1"/>
  <c r="N44" i="1" s="1"/>
  <c r="O43" i="1"/>
  <c r="M43" i="1"/>
  <c r="L43" i="1"/>
  <c r="N43" i="1" s="1"/>
  <c r="O42" i="1"/>
  <c r="M42" i="1"/>
  <c r="L42" i="1"/>
  <c r="N42" i="1" s="1"/>
  <c r="O41" i="1"/>
  <c r="M41" i="1"/>
  <c r="L41" i="1"/>
  <c r="N41" i="1" s="1"/>
  <c r="O40" i="1"/>
  <c r="M40" i="1"/>
  <c r="L40" i="1"/>
  <c r="N40" i="1" s="1"/>
  <c r="O39" i="1"/>
  <c r="M39" i="1"/>
  <c r="L39" i="1"/>
  <c r="N39" i="1" s="1"/>
  <c r="O38" i="1"/>
  <c r="M38" i="1"/>
  <c r="L38" i="1"/>
  <c r="N38" i="1" s="1"/>
  <c r="O37" i="1"/>
  <c r="M37" i="1"/>
  <c r="L37" i="1"/>
  <c r="N37" i="1" s="1"/>
  <c r="O36" i="1"/>
  <c r="M36" i="1"/>
  <c r="L36" i="1"/>
  <c r="N36" i="1" s="1"/>
  <c r="O35" i="1"/>
  <c r="M35" i="1"/>
  <c r="L35" i="1"/>
  <c r="N35" i="1" s="1"/>
  <c r="O34" i="1"/>
  <c r="M34" i="1"/>
  <c r="L34" i="1"/>
  <c r="N34" i="1" s="1"/>
  <c r="O33" i="1"/>
  <c r="M33" i="1"/>
  <c r="L33" i="1"/>
  <c r="N33" i="1" s="1"/>
  <c r="O32" i="1"/>
  <c r="M32" i="1"/>
  <c r="L32" i="1"/>
  <c r="N32" i="1" s="1"/>
  <c r="O31" i="1"/>
  <c r="M31" i="1"/>
  <c r="L31" i="1"/>
  <c r="N31" i="1" s="1"/>
  <c r="O30" i="1"/>
  <c r="M30" i="1"/>
  <c r="L30" i="1"/>
  <c r="N30" i="1" s="1"/>
  <c r="O29" i="1"/>
  <c r="M29" i="1"/>
  <c r="L29" i="1"/>
  <c r="N29" i="1" s="1"/>
  <c r="O28" i="1"/>
  <c r="M28" i="1"/>
  <c r="L28" i="1"/>
  <c r="N28" i="1" s="1"/>
  <c r="O27" i="1"/>
  <c r="M27" i="1"/>
  <c r="L27" i="1"/>
  <c r="N27" i="1" s="1"/>
  <c r="O26" i="1"/>
  <c r="M26" i="1"/>
  <c r="L26" i="1"/>
  <c r="N26" i="1" s="1"/>
  <c r="O25" i="1"/>
  <c r="M25" i="1"/>
  <c r="L25" i="1"/>
  <c r="N25" i="1" s="1"/>
  <c r="O24" i="1"/>
  <c r="M24" i="1"/>
  <c r="L24" i="1"/>
  <c r="N24" i="1" s="1"/>
  <c r="O23" i="1"/>
  <c r="M23" i="1"/>
  <c r="L23" i="1"/>
  <c r="N23" i="1" s="1"/>
  <c r="O22" i="1"/>
  <c r="M22" i="1"/>
  <c r="L22" i="1"/>
  <c r="N22" i="1" s="1"/>
  <c r="O21" i="1"/>
  <c r="M21" i="1"/>
  <c r="L21" i="1"/>
  <c r="N21" i="1" s="1"/>
  <c r="O20" i="1"/>
  <c r="M20" i="1"/>
  <c r="L20" i="1"/>
  <c r="N20" i="1" s="1"/>
  <c r="O19" i="1"/>
  <c r="M19" i="1"/>
  <c r="L19" i="1"/>
  <c r="N19" i="1" s="1"/>
  <c r="O18" i="1"/>
  <c r="M18" i="1"/>
  <c r="L18" i="1"/>
  <c r="N18" i="1" s="1"/>
  <c r="O17" i="1"/>
  <c r="M17" i="1"/>
  <c r="L17" i="1"/>
  <c r="N17" i="1" s="1"/>
  <c r="O16" i="1"/>
  <c r="M16" i="1"/>
  <c r="L16" i="1"/>
  <c r="N16" i="1" s="1"/>
  <c r="O15" i="1"/>
  <c r="M15" i="1"/>
  <c r="L15" i="1"/>
  <c r="N15" i="1" s="1"/>
  <c r="O14" i="1"/>
  <c r="M14" i="1"/>
  <c r="L14" i="1"/>
  <c r="N14" i="1" s="1"/>
  <c r="O13" i="1"/>
  <c r="M13" i="1"/>
  <c r="L13" i="1"/>
  <c r="N13" i="1" s="1"/>
  <c r="O12" i="1"/>
  <c r="M12" i="1"/>
  <c r="L12" i="1"/>
  <c r="N12" i="1" s="1"/>
  <c r="O11" i="1"/>
  <c r="M11" i="1"/>
  <c r="L11" i="1"/>
  <c r="N11" i="1" s="1"/>
  <c r="O10" i="1"/>
  <c r="M10" i="1"/>
  <c r="L10" i="1"/>
  <c r="N10" i="1" s="1"/>
  <c r="O9" i="1"/>
  <c r="M9" i="1"/>
  <c r="L9" i="1"/>
  <c r="N9" i="1" s="1"/>
</calcChain>
</file>

<file path=xl/sharedStrings.xml><?xml version="1.0" encoding="utf-8"?>
<sst xmlns="http://schemas.openxmlformats.org/spreadsheetml/2006/main" count="926" uniqueCount="153">
  <si>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</si>
  <si>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</si>
  <si>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</si>
  <si>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</si>
  <si>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</si>
  <si>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</si>
  <si>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</si>
  <si>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</si>
  <si>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</si>
  <si>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</si>
  <si>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</si>
  <si>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</si>
  <si>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</si>
  <si>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</si>
  <si>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B/C/TC</t>
  </si>
  <si>
    <t>Price Ratio %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</si>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</sst>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3" xr:uid="{00000000-0005-0000-0000-000003000000}"/>
    <cellStyle name="Normal 3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pageSetUpPr fitToPage="1"/>
  </sheetPr>
  <dimension ref="A1:O190"/>
  <sheetViews>
    <sheetView tabSelected="1" zoomScale="55" zoomScaleNormal="55" workbookViewId="0">
      <pane ySplit="8" topLeftCell="A9" activePane="bottomLeft" state="frozen"/>
      <selection pane="bottomLeft" activeCell="R33" sqref="R33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2" width="8" style="1" customWidth="1"/>
    <col min="13" max="13" width="8" style="1"/>
    <col min="14" max="14" width="39.7265625" style="1" bestFit="1" customWidth="1"/>
    <col min="15" max="16384" width="8" style="1"/>
  </cols>
  <sheetData>
    <row r="1" spans="1:15">
      <c r="A1" s="1"/>
      <c r="B1" s="1"/>
      <c r="C1" s="1"/>
      <c r="D1" s="1"/>
    </row>
    <row r="2" spans="1:15" ht="21" customHeight="1">
      <c r="A2" s="5"/>
      <c r="B2" s="5"/>
      <c r="C2" s="5"/>
      <c r="D2" s="22" t="s">
        <v>0</v>
      </c>
      <c r="E2" s="23"/>
      <c r="F2" s="23"/>
      <c r="G2" s="24"/>
      <c r="H2" s="6"/>
      <c r="I2" s="7"/>
      <c r="J2" s="7"/>
      <c r="K2" s="7"/>
    </row>
    <row r="3" spans="1:15" ht="14.5" customHeight="1">
      <c r="A3" s="5"/>
      <c r="B3" s="8"/>
      <c r="C3" s="9"/>
      <c r="D3" s="25" t="s">
        <v>1</v>
      </c>
      <c r="E3" s="23"/>
      <c r="F3" s="23"/>
      <c r="G3" s="24"/>
      <c r="H3" s="10"/>
      <c r="I3" s="11"/>
      <c r="J3" s="11"/>
      <c r="K3" s="11"/>
    </row>
    <row r="4" spans="1:15" ht="14.5" customHeight="1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5" ht="14.5" customHeight="1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5" ht="14.5" customHeight="1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5">
      <c r="A7" s="1"/>
      <c r="B7" s="1"/>
      <c r="C7" s="1"/>
      <c r="D7" s="1"/>
    </row>
    <row r="8" spans="1:15" ht="31" customHeight="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14</v>
      </c>
      <c r="O8" t="s">
        <v>15</v>
      </c>
    </row>
    <row r="9" spans="1:15" ht="15.5" customHeight="1">
      <c r="A9" s="14">
        <v>1065365</v>
      </c>
      <c r="B9" s="15" t="s">
        <v>16</v>
      </c>
      <c r="C9" s="15" t="s">
        <v>17</v>
      </c>
      <c r="D9" s="15" t="s">
        <v>18</v>
      </c>
      <c r="E9" s="14" t="s">
        <v>19</v>
      </c>
      <c r="F9" s="14">
        <v>341</v>
      </c>
      <c r="G9" s="15" t="s">
        <v>20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  <c r="N9" t="str">
        <f t="shared" ref="N9:N40" si="2">PROPER($D9)&amp;" "&amp;$H9&amp;$L9&amp;" "&amp;$M9&amp;"$"&amp;ABS($K9)&amp;" to $"&amp;$J9</f>
        <v>Steam Whistle 48B -$10 to $85.99</v>
      </c>
      <c r="O9">
        <f t="shared" ref="O9:O40" si="3">(J9/I9)*100</f>
        <v>89.58224815084904</v>
      </c>
    </row>
    <row r="10" spans="1:15" ht="15.5" customHeight="1">
      <c r="A10" s="14">
        <v>1129130</v>
      </c>
      <c r="B10" s="15" t="s">
        <v>16</v>
      </c>
      <c r="C10" s="15" t="s">
        <v>21</v>
      </c>
      <c r="D10" s="15" t="s">
        <v>22</v>
      </c>
      <c r="E10" s="14" t="s">
        <v>23</v>
      </c>
      <c r="F10" s="14">
        <v>500</v>
      </c>
      <c r="G10" s="15" t="s">
        <v>24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  <c r="N10" t="str">
        <f t="shared" si="2"/>
        <v>Crest Super 24TC -$8.85 to $74.82</v>
      </c>
      <c r="O10">
        <f t="shared" si="3"/>
        <v>89.422732162065245</v>
      </c>
    </row>
    <row r="11" spans="1:15" ht="15.5" customHeight="1">
      <c r="A11" s="14">
        <v>2042611</v>
      </c>
      <c r="B11" s="15" t="s">
        <v>16</v>
      </c>
      <c r="C11" s="15" t="s">
        <v>25</v>
      </c>
      <c r="D11" s="15" t="s">
        <v>26</v>
      </c>
      <c r="E11" s="14" t="s">
        <v>23</v>
      </c>
      <c r="F11" s="14">
        <v>710</v>
      </c>
      <c r="G11" s="15" t="s">
        <v>27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  <c r="N11" t="str">
        <f t="shared" si="2"/>
        <v>Colt 45 24TC -$8.07 to $77.95</v>
      </c>
      <c r="O11">
        <f t="shared" si="3"/>
        <v>90.61846082306441</v>
      </c>
    </row>
    <row r="12" spans="1:15" ht="15.5" customHeight="1">
      <c r="A12" s="14">
        <v>3353211</v>
      </c>
      <c r="B12" s="15" t="s">
        <v>16</v>
      </c>
      <c r="C12" s="15" t="s">
        <v>28</v>
      </c>
      <c r="D12" s="15" t="s">
        <v>29</v>
      </c>
      <c r="E12" s="14" t="s">
        <v>23</v>
      </c>
      <c r="F12" s="14">
        <v>355</v>
      </c>
      <c r="G12" s="15" t="s">
        <v>30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  <c r="N12" t="str">
        <f t="shared" si="2"/>
        <v>Beaus Lug Lite Lager 48C -$8 to $71.99</v>
      </c>
      <c r="O12">
        <f t="shared" si="3"/>
        <v>89.998749843730465</v>
      </c>
    </row>
    <row r="13" spans="1:15" ht="15.5" customHeight="1">
      <c r="A13" s="14">
        <v>2503211</v>
      </c>
      <c r="B13" s="15" t="s">
        <v>16</v>
      </c>
      <c r="C13" s="15" t="s">
        <v>31</v>
      </c>
      <c r="D13" s="15" t="s">
        <v>32</v>
      </c>
      <c r="E13" s="14" t="s">
        <v>23</v>
      </c>
      <c r="F13" s="14">
        <v>355</v>
      </c>
      <c r="G13" s="15" t="s">
        <v>30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  <c r="N13" t="str">
        <f t="shared" si="2"/>
        <v>Muskoka Tread Light 48C -$8 to $78.99</v>
      </c>
      <c r="O13">
        <f t="shared" si="3"/>
        <v>90.803540636854805</v>
      </c>
    </row>
    <row r="14" spans="1:15" ht="15.5" customHeight="1">
      <c r="A14" s="14">
        <v>1143013</v>
      </c>
      <c r="B14" s="15" t="s">
        <v>33</v>
      </c>
      <c r="C14" s="15" t="s">
        <v>34</v>
      </c>
      <c r="D14" s="15" t="s">
        <v>35</v>
      </c>
      <c r="E14" s="14" t="s">
        <v>19</v>
      </c>
      <c r="F14" s="14">
        <v>330</v>
      </c>
      <c r="G14" s="15" t="s">
        <v>36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  <c r="N14" t="str">
        <f t="shared" si="2"/>
        <v>Heineken Nv 24B -$6.2 to $54.5</v>
      </c>
      <c r="O14">
        <f t="shared" si="3"/>
        <v>89.78583196046128</v>
      </c>
    </row>
    <row r="15" spans="1:15" ht="15.5" customHeight="1">
      <c r="A15" s="14">
        <v>3891013</v>
      </c>
      <c r="B15" s="15" t="s">
        <v>33</v>
      </c>
      <c r="C15" s="15" t="s">
        <v>34</v>
      </c>
      <c r="D15" s="15" t="s">
        <v>37</v>
      </c>
      <c r="E15" s="14" t="s">
        <v>19</v>
      </c>
      <c r="F15" s="14">
        <v>330</v>
      </c>
      <c r="G15" s="15" t="s">
        <v>36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  <c r="N15" t="str">
        <f t="shared" si="2"/>
        <v>Heineken Silver 24B -$6.2 to $54.5</v>
      </c>
      <c r="O15">
        <f t="shared" si="3"/>
        <v>89.78583196046128</v>
      </c>
    </row>
    <row r="16" spans="1:15" ht="15.5" customHeight="1">
      <c r="A16" s="14">
        <v>1617224</v>
      </c>
      <c r="B16" s="15" t="s">
        <v>16</v>
      </c>
      <c r="C16" s="15" t="s">
        <v>38</v>
      </c>
      <c r="D16" s="15" t="s">
        <v>39</v>
      </c>
      <c r="E16" s="14" t="s">
        <v>23</v>
      </c>
      <c r="F16" s="14">
        <v>355</v>
      </c>
      <c r="G16" s="15" t="s">
        <v>30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  <c r="N16" t="str">
        <f t="shared" si="2"/>
        <v>James Ready 5.5 60C -$6 to $84.99</v>
      </c>
      <c r="O16">
        <f t="shared" si="3"/>
        <v>93.405868776788665</v>
      </c>
    </row>
    <row r="17" spans="1:15" ht="15.5" customHeight="1">
      <c r="A17" s="14">
        <v>1035172</v>
      </c>
      <c r="B17" s="15" t="s">
        <v>16</v>
      </c>
      <c r="C17" s="15" t="s">
        <v>40</v>
      </c>
      <c r="D17" s="15" t="s">
        <v>41</v>
      </c>
      <c r="E17" s="14" t="s">
        <v>23</v>
      </c>
      <c r="F17" s="14">
        <v>355</v>
      </c>
      <c r="G17" s="15" t="s">
        <v>30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  <c r="N17" t="str">
        <f t="shared" si="2"/>
        <v>Budweiser 30C -$5.5 to $45.99</v>
      </c>
      <c r="O17">
        <f t="shared" si="3"/>
        <v>89.318314235773926</v>
      </c>
    </row>
    <row r="18" spans="1:15" ht="15.5" customHeight="1">
      <c r="A18" s="14">
        <v>3891013</v>
      </c>
      <c r="B18" s="15" t="s">
        <v>16</v>
      </c>
      <c r="C18" s="15" t="s">
        <v>34</v>
      </c>
      <c r="D18" s="15" t="s">
        <v>37</v>
      </c>
      <c r="E18" s="14" t="s">
        <v>19</v>
      </c>
      <c r="F18" s="14">
        <v>330</v>
      </c>
      <c r="G18" s="15" t="s">
        <v>36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  <c r="N18" t="str">
        <f t="shared" si="2"/>
        <v>Heineken Silver 24B -$5 to $44.99</v>
      </c>
      <c r="O18">
        <f t="shared" si="3"/>
        <v>89.997999599919993</v>
      </c>
    </row>
    <row r="19" spans="1:15" ht="15.5" customHeight="1">
      <c r="A19" s="14">
        <v>1465033</v>
      </c>
      <c r="B19" s="15" t="s">
        <v>16</v>
      </c>
      <c r="C19" s="15" t="s">
        <v>42</v>
      </c>
      <c r="D19" s="15" t="s">
        <v>43</v>
      </c>
      <c r="E19" s="14" t="s">
        <v>23</v>
      </c>
      <c r="F19" s="14">
        <v>355</v>
      </c>
      <c r="G19" s="15" t="s">
        <v>30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  <c r="N19" t="str">
        <f t="shared" si="2"/>
        <v>Creemore Lager 24C -$5 to $42.99</v>
      </c>
      <c r="O19">
        <f t="shared" si="3"/>
        <v>89.581162742237964</v>
      </c>
    </row>
    <row r="20" spans="1:15" ht="15.5" customHeight="1">
      <c r="A20" s="14">
        <v>3583348</v>
      </c>
      <c r="B20" s="15" t="s">
        <v>16</v>
      </c>
      <c r="C20" s="15" t="s">
        <v>44</v>
      </c>
      <c r="D20" s="15" t="s">
        <v>45</v>
      </c>
      <c r="E20" s="14" t="s">
        <v>23</v>
      </c>
      <c r="F20" s="14">
        <v>568</v>
      </c>
      <c r="G20" s="15" t="s">
        <v>46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  <c r="N20" t="str">
        <f t="shared" si="2"/>
        <v>Faxe 10 Extra 24TC -$5 to $80.76</v>
      </c>
      <c r="O20">
        <f t="shared" si="3"/>
        <v>94.169776119402982</v>
      </c>
    </row>
    <row r="21" spans="1:15" ht="15.5" customHeight="1">
      <c r="A21" s="14">
        <v>3582348</v>
      </c>
      <c r="B21" s="15" t="s">
        <v>16</v>
      </c>
      <c r="C21" s="15" t="s">
        <v>44</v>
      </c>
      <c r="D21" s="15" t="s">
        <v>47</v>
      </c>
      <c r="E21" s="14" t="s">
        <v>23</v>
      </c>
      <c r="F21" s="14">
        <v>568</v>
      </c>
      <c r="G21" s="15" t="s">
        <v>46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  <c r="N21" t="str">
        <f t="shared" si="2"/>
        <v>Faxe Premium Lager 24TC -$5 to $45.35</v>
      </c>
      <c r="O21">
        <f t="shared" si="3"/>
        <v>90.069513406156901</v>
      </c>
    </row>
    <row r="22" spans="1:15" ht="15.5" customHeight="1">
      <c r="A22" s="14">
        <v>1504172</v>
      </c>
      <c r="B22" s="15" t="s">
        <v>16</v>
      </c>
      <c r="C22" s="15" t="s">
        <v>25</v>
      </c>
      <c r="D22" s="15" t="s">
        <v>48</v>
      </c>
      <c r="E22" s="14" t="s">
        <v>23</v>
      </c>
      <c r="F22" s="14">
        <v>355</v>
      </c>
      <c r="G22" s="15" t="s">
        <v>30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  <c r="N22" t="str">
        <f t="shared" si="2"/>
        <v>Sleeman Clear 2.0 30C -$5 to $44.99</v>
      </c>
      <c r="O22">
        <f t="shared" si="3"/>
        <v>89.997999599919993</v>
      </c>
    </row>
    <row r="23" spans="1:15" ht="15.5" customHeight="1">
      <c r="A23" s="14">
        <v>2341172</v>
      </c>
      <c r="B23" s="15" t="s">
        <v>16</v>
      </c>
      <c r="C23" s="15" t="s">
        <v>42</v>
      </c>
      <c r="D23" s="15" t="s">
        <v>49</v>
      </c>
      <c r="E23" s="14" t="s">
        <v>23</v>
      </c>
      <c r="F23" s="14">
        <v>355</v>
      </c>
      <c r="G23" s="15" t="s">
        <v>30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  <c r="N23" t="str">
        <f t="shared" si="2"/>
        <v>Coors Original 30C -$4.5 to $48.99</v>
      </c>
      <c r="O23">
        <f t="shared" si="3"/>
        <v>91.587212563095903</v>
      </c>
    </row>
    <row r="24" spans="1:15" ht="15.5" customHeight="1">
      <c r="A24" s="14">
        <v>3353033</v>
      </c>
      <c r="B24" s="15" t="s">
        <v>16</v>
      </c>
      <c r="C24" s="15" t="s">
        <v>28</v>
      </c>
      <c r="D24" s="15" t="s">
        <v>29</v>
      </c>
      <c r="E24" s="14" t="s">
        <v>23</v>
      </c>
      <c r="F24" s="14">
        <v>355</v>
      </c>
      <c r="G24" s="15" t="s">
        <v>30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  <c r="N24" t="str">
        <f t="shared" si="2"/>
        <v>Beaus Lug Lite Lager 24C -$4 to $38.99</v>
      </c>
      <c r="O24">
        <f t="shared" si="3"/>
        <v>90.695510583856702</v>
      </c>
    </row>
    <row r="25" spans="1:15" ht="15.5" customHeight="1">
      <c r="A25" s="14">
        <v>3879042</v>
      </c>
      <c r="B25" s="15" t="s">
        <v>16</v>
      </c>
      <c r="C25" s="15" t="s">
        <v>50</v>
      </c>
      <c r="D25" s="15" t="s">
        <v>51</v>
      </c>
      <c r="E25" s="14" t="s">
        <v>23</v>
      </c>
      <c r="F25" s="14">
        <v>473</v>
      </c>
      <c r="G25" s="15" t="s">
        <v>52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  <c r="N25" t="str">
        <f t="shared" si="2"/>
        <v>Gone Fishin Light 12TC -$4 to $26.99</v>
      </c>
      <c r="O25">
        <f t="shared" si="3"/>
        <v>87.092610519522424</v>
      </c>
    </row>
    <row r="26" spans="1:15" ht="15.5" customHeight="1">
      <c r="A26" s="14">
        <v>3154042</v>
      </c>
      <c r="B26" s="15" t="s">
        <v>16</v>
      </c>
      <c r="C26" s="15" t="s">
        <v>50</v>
      </c>
      <c r="D26" s="15" t="s">
        <v>53</v>
      </c>
      <c r="E26" s="14" t="s">
        <v>23</v>
      </c>
      <c r="F26" s="14">
        <v>473</v>
      </c>
      <c r="G26" s="15" t="s">
        <v>52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  <c r="N26" t="str">
        <f t="shared" si="2"/>
        <v>Longhorn Lager 12TC -$4 to $27.99</v>
      </c>
      <c r="O26">
        <f t="shared" si="3"/>
        <v>87.496092528915284</v>
      </c>
    </row>
    <row r="27" spans="1:15" ht="15.5" customHeight="1">
      <c r="A27" s="14">
        <v>3715042</v>
      </c>
      <c r="B27" s="15" t="s">
        <v>16</v>
      </c>
      <c r="C27" s="15" t="s">
        <v>50</v>
      </c>
      <c r="D27" s="15" t="s">
        <v>54</v>
      </c>
      <c r="E27" s="14" t="s">
        <v>23</v>
      </c>
      <c r="F27" s="14">
        <v>473</v>
      </c>
      <c r="G27" s="15" t="s">
        <v>52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  <c r="N27" t="str">
        <f t="shared" si="2"/>
        <v>Rough Stock Ipa 12TC -$4 to $30.99</v>
      </c>
      <c r="O27">
        <f t="shared" si="3"/>
        <v>88.568162332094886</v>
      </c>
    </row>
    <row r="28" spans="1:15" ht="15.5" customHeight="1">
      <c r="A28" s="14">
        <v>1090033</v>
      </c>
      <c r="B28" s="15" t="s">
        <v>16</v>
      </c>
      <c r="C28" s="15" t="s">
        <v>40</v>
      </c>
      <c r="D28" s="15" t="s">
        <v>55</v>
      </c>
      <c r="E28" s="14" t="s">
        <v>23</v>
      </c>
      <c r="F28" s="14">
        <v>355</v>
      </c>
      <c r="G28" s="15" t="s">
        <v>30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  <c r="N28" t="str">
        <f t="shared" si="2"/>
        <v>Mill St Organic Lag 24C -$4 to $44.99</v>
      </c>
      <c r="O28">
        <f t="shared" si="3"/>
        <v>91.835068381302307</v>
      </c>
    </row>
    <row r="29" spans="1:15" ht="15.5" customHeight="1">
      <c r="A29" s="14">
        <v>1060100</v>
      </c>
      <c r="B29" s="15" t="s">
        <v>16</v>
      </c>
      <c r="C29" s="15" t="s">
        <v>42</v>
      </c>
      <c r="D29" s="15" t="s">
        <v>56</v>
      </c>
      <c r="E29" s="14" t="s">
        <v>19</v>
      </c>
      <c r="F29" s="14">
        <v>341</v>
      </c>
      <c r="G29" s="15" t="s">
        <v>20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  <c r="N29" t="str">
        <f t="shared" si="2"/>
        <v>Coors Light 28B -$4 to $39.49</v>
      </c>
      <c r="O29">
        <f t="shared" si="3"/>
        <v>90.802483329501044</v>
      </c>
    </row>
    <row r="30" spans="1:15" ht="15.5" customHeight="1">
      <c r="A30" s="14">
        <v>1879055</v>
      </c>
      <c r="B30" s="15" t="s">
        <v>16</v>
      </c>
      <c r="C30" s="15" t="s">
        <v>42</v>
      </c>
      <c r="D30" s="15" t="s">
        <v>57</v>
      </c>
      <c r="E30" s="14" t="s">
        <v>19</v>
      </c>
      <c r="F30" s="14">
        <v>355</v>
      </c>
      <c r="G30" s="15" t="s">
        <v>58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  <c r="N30" t="str">
        <f t="shared" si="2"/>
        <v>Miller High Life 24B -$4 to $35.99</v>
      </c>
      <c r="O30">
        <f t="shared" si="3"/>
        <v>89.997499374843713</v>
      </c>
    </row>
    <row r="31" spans="1:15" ht="15.5" customHeight="1">
      <c r="A31" s="14">
        <v>1873005</v>
      </c>
      <c r="B31" s="15" t="s">
        <v>16</v>
      </c>
      <c r="C31" s="15" t="s">
        <v>42</v>
      </c>
      <c r="D31" s="15" t="s">
        <v>59</v>
      </c>
      <c r="E31" s="14" t="s">
        <v>19</v>
      </c>
      <c r="F31" s="14">
        <v>341</v>
      </c>
      <c r="G31" s="15" t="s">
        <v>20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  <c r="N31" t="str">
        <f t="shared" si="2"/>
        <v>Miller Lite 24B -$4 to $38.99</v>
      </c>
      <c r="O31">
        <f t="shared" si="3"/>
        <v>90.695510583856702</v>
      </c>
    </row>
    <row r="32" spans="1:15" ht="15.5" customHeight="1">
      <c r="A32" s="14">
        <v>1599033</v>
      </c>
      <c r="B32" s="15" t="s">
        <v>16</v>
      </c>
      <c r="C32" s="15" t="s">
        <v>31</v>
      </c>
      <c r="D32" s="15" t="s">
        <v>60</v>
      </c>
      <c r="E32" s="14" t="s">
        <v>23</v>
      </c>
      <c r="F32" s="14">
        <v>355</v>
      </c>
      <c r="G32" s="15" t="s">
        <v>30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  <c r="N32" t="str">
        <f t="shared" si="2"/>
        <v>Muskoka Detour 24C -$4 to $47.49</v>
      </c>
      <c r="O32">
        <f t="shared" si="3"/>
        <v>92.231501262381045</v>
      </c>
    </row>
    <row r="33" spans="1:15" ht="15.5" customHeight="1">
      <c r="A33" s="14">
        <v>1584041</v>
      </c>
      <c r="B33" s="15" t="s">
        <v>33</v>
      </c>
      <c r="C33" s="15" t="s">
        <v>61</v>
      </c>
      <c r="D33" s="15" t="s">
        <v>62</v>
      </c>
      <c r="E33" s="14" t="s">
        <v>23</v>
      </c>
      <c r="F33" s="14">
        <v>473</v>
      </c>
      <c r="G33" s="15" t="s">
        <v>52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  <c r="N33" t="str">
        <f t="shared" si="2"/>
        <v>Headstock Ipa 24TC -$4 to $61.88</v>
      </c>
      <c r="O33">
        <f t="shared" si="3"/>
        <v>93.928354584092304</v>
      </c>
    </row>
    <row r="34" spans="1:15" ht="15.5" customHeight="1">
      <c r="A34" s="14">
        <v>1584041</v>
      </c>
      <c r="B34" s="15" t="s">
        <v>16</v>
      </c>
      <c r="C34" s="15" t="s">
        <v>61</v>
      </c>
      <c r="D34" s="15" t="s">
        <v>62</v>
      </c>
      <c r="E34" s="14" t="s">
        <v>23</v>
      </c>
      <c r="F34" s="14">
        <v>473</v>
      </c>
      <c r="G34" s="15" t="s">
        <v>52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  <c r="N34" t="str">
        <f t="shared" si="2"/>
        <v>Headstock Ipa 24TC -$4 to $61.88</v>
      </c>
      <c r="O34">
        <f t="shared" si="3"/>
        <v>93.928354584092304</v>
      </c>
    </row>
    <row r="35" spans="1:15" ht="15.5" customHeight="1">
      <c r="A35" s="14">
        <v>2022041</v>
      </c>
      <c r="B35" s="15" t="s">
        <v>33</v>
      </c>
      <c r="C35" s="15" t="s">
        <v>61</v>
      </c>
      <c r="D35" s="15" t="s">
        <v>63</v>
      </c>
      <c r="E35" s="14" t="s">
        <v>23</v>
      </c>
      <c r="F35" s="14">
        <v>473</v>
      </c>
      <c r="G35" s="15" t="s">
        <v>52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  <c r="N35" t="str">
        <f t="shared" si="2"/>
        <v>Wicked Awesome Ipa 24TC -$4 to $61.88</v>
      </c>
      <c r="O35">
        <f t="shared" si="3"/>
        <v>93.928354584092304</v>
      </c>
    </row>
    <row r="36" spans="1:15" ht="15.5" customHeight="1">
      <c r="A36" s="14">
        <v>2022041</v>
      </c>
      <c r="B36" s="15" t="s">
        <v>16</v>
      </c>
      <c r="C36" s="15" t="s">
        <v>61</v>
      </c>
      <c r="D36" s="15" t="s">
        <v>63</v>
      </c>
      <c r="E36" s="14" t="s">
        <v>23</v>
      </c>
      <c r="F36" s="14">
        <v>473</v>
      </c>
      <c r="G36" s="15" t="s">
        <v>52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  <c r="N36" t="str">
        <f t="shared" si="2"/>
        <v>Wicked Awesome Ipa 24TC -$4 to $61.88</v>
      </c>
      <c r="O36">
        <f t="shared" si="3"/>
        <v>93.928354584092304</v>
      </c>
    </row>
    <row r="37" spans="1:15" ht="15.5" customHeight="1">
      <c r="A37" s="14">
        <v>1065356</v>
      </c>
      <c r="B37" s="15" t="s">
        <v>16</v>
      </c>
      <c r="C37" s="15" t="s">
        <v>17</v>
      </c>
      <c r="D37" s="15" t="s">
        <v>18</v>
      </c>
      <c r="E37" s="14" t="s">
        <v>19</v>
      </c>
      <c r="F37" s="14">
        <v>341</v>
      </c>
      <c r="G37" s="15" t="s">
        <v>20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  <c r="N37" t="str">
        <f t="shared" si="2"/>
        <v>Steam Whistle 24B -$4 to $48.49</v>
      </c>
      <c r="O37">
        <f t="shared" si="3"/>
        <v>92.379500857306155</v>
      </c>
    </row>
    <row r="38" spans="1:15" ht="15.5" customHeight="1">
      <c r="A38" s="14">
        <v>1448041</v>
      </c>
      <c r="B38" s="15" t="s">
        <v>16</v>
      </c>
      <c r="C38" s="15" t="s">
        <v>64</v>
      </c>
      <c r="D38" s="15" t="s">
        <v>65</v>
      </c>
      <c r="E38" s="14" t="s">
        <v>23</v>
      </c>
      <c r="F38" s="14">
        <v>473</v>
      </c>
      <c r="G38" s="15" t="s">
        <v>52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  <c r="N38" t="str">
        <f t="shared" si="2"/>
        <v>Helles Lager 24TC -$4 to $58.99</v>
      </c>
      <c r="O38">
        <f t="shared" si="3"/>
        <v>93.649785680266703</v>
      </c>
    </row>
    <row r="39" spans="1:15" ht="15.5" customHeight="1">
      <c r="A39" s="14">
        <v>2042051</v>
      </c>
      <c r="B39" s="15" t="s">
        <v>16</v>
      </c>
      <c r="C39" s="15" t="s">
        <v>25</v>
      </c>
      <c r="D39" s="15" t="s">
        <v>26</v>
      </c>
      <c r="E39" s="14" t="s">
        <v>23</v>
      </c>
      <c r="F39" s="14">
        <v>710</v>
      </c>
      <c r="G39" s="15" t="s">
        <v>27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  <c r="N39" t="str">
        <f t="shared" si="2"/>
        <v>Colt 45 12TC -$3.64 to $38.97</v>
      </c>
      <c r="O39">
        <f t="shared" si="3"/>
        <v>91.457404365172493</v>
      </c>
    </row>
    <row r="40" spans="1:15" ht="15.5" customHeight="1">
      <c r="A40" s="14">
        <v>1319055</v>
      </c>
      <c r="B40" s="15" t="s">
        <v>16</v>
      </c>
      <c r="C40" s="15" t="s">
        <v>66</v>
      </c>
      <c r="D40" s="15" t="s">
        <v>67</v>
      </c>
      <c r="E40" s="14" t="s">
        <v>19</v>
      </c>
      <c r="F40" s="14">
        <v>355</v>
      </c>
      <c r="G40" s="15" t="s">
        <v>58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  <c r="N40" t="str">
        <f t="shared" si="2"/>
        <v>Modelo Especial Impt 24B -$3 to $50.99</v>
      </c>
      <c r="O40">
        <f t="shared" si="3"/>
        <v>94.443415447305057</v>
      </c>
    </row>
    <row r="41" spans="1:15" ht="15.5" customHeight="1">
      <c r="A41" s="14">
        <v>1045172</v>
      </c>
      <c r="B41" s="15" t="s">
        <v>16</v>
      </c>
      <c r="C41" s="15" t="s">
        <v>40</v>
      </c>
      <c r="D41" s="15" t="s">
        <v>68</v>
      </c>
      <c r="E41" s="14" t="s">
        <v>23</v>
      </c>
      <c r="F41" s="14">
        <v>355</v>
      </c>
      <c r="G41" s="15" t="s">
        <v>30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4">IF(F41&gt;355,"TC",LEFT(E41,1))</f>
        <v>C</v>
      </c>
      <c r="M41" s="1" t="str">
        <f t="shared" ref="M41:M72" si="5">IF(K41&gt;0,"+","-")</f>
        <v>-</v>
      </c>
      <c r="N41" t="str">
        <f t="shared" ref="N41:N72" si="6">PROPER($D41)&amp;" "&amp;$H41&amp;$L41&amp;" "&amp;$M41&amp;"$"&amp;ABS($K41)&amp;" to $"&amp;$J41</f>
        <v>Busch Lager 30C -$3 to $44.99</v>
      </c>
      <c r="O41">
        <f t="shared" ref="O41:O72" si="7">(J41/I41)*100</f>
        <v>93.748697645342787</v>
      </c>
    </row>
    <row r="42" spans="1:15" ht="15.5" customHeight="1">
      <c r="A42" s="14">
        <v>1026100</v>
      </c>
      <c r="B42" s="15" t="s">
        <v>16</v>
      </c>
      <c r="C42" s="15" t="s">
        <v>40</v>
      </c>
      <c r="D42" s="15" t="s">
        <v>69</v>
      </c>
      <c r="E42" s="14" t="s">
        <v>19</v>
      </c>
      <c r="F42" s="14">
        <v>341</v>
      </c>
      <c r="G42" s="15" t="s">
        <v>20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4"/>
        <v>B</v>
      </c>
      <c r="M42" s="1" t="str">
        <f t="shared" si="5"/>
        <v>-</v>
      </c>
      <c r="N42" t="str">
        <f t="shared" si="6"/>
        <v>Keiths 28B -$3 to $42.99</v>
      </c>
      <c r="O42">
        <f t="shared" si="7"/>
        <v>93.476842791911281</v>
      </c>
    </row>
    <row r="43" spans="1:15" ht="15.5" customHeight="1">
      <c r="A43" s="14">
        <v>1030172</v>
      </c>
      <c r="B43" s="15" t="s">
        <v>16</v>
      </c>
      <c r="C43" s="15" t="s">
        <v>40</v>
      </c>
      <c r="D43" s="15" t="s">
        <v>70</v>
      </c>
      <c r="E43" s="14" t="s">
        <v>23</v>
      </c>
      <c r="F43" s="14">
        <v>355</v>
      </c>
      <c r="G43" s="15" t="s">
        <v>30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4"/>
        <v>C</v>
      </c>
      <c r="M43" s="1" t="str">
        <f t="shared" si="5"/>
        <v>-</v>
      </c>
      <c r="N43" t="str">
        <f t="shared" si="6"/>
        <v>Michelob Ultra 30C -$3 to $49.49</v>
      </c>
      <c r="O43">
        <f t="shared" si="7"/>
        <v>94.28462564297962</v>
      </c>
    </row>
    <row r="44" spans="1:15" ht="15.5" customHeight="1">
      <c r="A44" s="14">
        <v>1056172</v>
      </c>
      <c r="B44" s="15" t="s">
        <v>16</v>
      </c>
      <c r="C44" s="15" t="s">
        <v>42</v>
      </c>
      <c r="D44" s="15" t="s">
        <v>71</v>
      </c>
      <c r="E44" s="14" t="s">
        <v>23</v>
      </c>
      <c r="F44" s="14">
        <v>355</v>
      </c>
      <c r="G44" s="15" t="s">
        <v>30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4"/>
        <v>C</v>
      </c>
      <c r="M44" s="1" t="str">
        <f t="shared" si="5"/>
        <v>-</v>
      </c>
      <c r="N44" t="str">
        <f t="shared" si="6"/>
        <v>Molson Canadian 30C -$3 to $47.99</v>
      </c>
      <c r="O44">
        <f t="shared" si="7"/>
        <v>94.116493430084333</v>
      </c>
    </row>
    <row r="45" spans="1:15" ht="15.5" customHeight="1">
      <c r="A45" s="14">
        <v>1628172</v>
      </c>
      <c r="B45" s="15" t="s">
        <v>16</v>
      </c>
      <c r="C45" s="15" t="s">
        <v>38</v>
      </c>
      <c r="D45" s="15" t="s">
        <v>72</v>
      </c>
      <c r="E45" s="14" t="s">
        <v>23</v>
      </c>
      <c r="F45" s="14">
        <v>355</v>
      </c>
      <c r="G45" s="15" t="s">
        <v>30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4"/>
        <v>C</v>
      </c>
      <c r="M45" s="1" t="str">
        <f t="shared" si="5"/>
        <v>-</v>
      </c>
      <c r="N45" t="str">
        <f t="shared" si="6"/>
        <v>Moosehead Lager 30C -$3 to $46.99</v>
      </c>
      <c r="O45">
        <f t="shared" si="7"/>
        <v>93.998799759951993</v>
      </c>
    </row>
    <row r="46" spans="1:15" ht="15.5" customHeight="1">
      <c r="A46" s="14">
        <v>1490005</v>
      </c>
      <c r="B46" s="15" t="s">
        <v>16</v>
      </c>
      <c r="C46" s="15" t="s">
        <v>25</v>
      </c>
      <c r="D46" s="15" t="s">
        <v>73</v>
      </c>
      <c r="E46" s="14" t="s">
        <v>19</v>
      </c>
      <c r="F46" s="14">
        <v>341</v>
      </c>
      <c r="G46" s="15" t="s">
        <v>20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4"/>
        <v>B</v>
      </c>
      <c r="M46" s="1" t="str">
        <f t="shared" si="5"/>
        <v>-</v>
      </c>
      <c r="N46" t="str">
        <f t="shared" si="6"/>
        <v>Sleeman Original Lgr 24B -$3 to $37.99</v>
      </c>
      <c r="O46">
        <f t="shared" si="7"/>
        <v>92.681141741888268</v>
      </c>
    </row>
    <row r="47" spans="1:15" ht="15.5" customHeight="1">
      <c r="A47" s="14">
        <v>3353031</v>
      </c>
      <c r="B47" s="15" t="s">
        <v>16</v>
      </c>
      <c r="C47" s="15" t="s">
        <v>28</v>
      </c>
      <c r="D47" s="15" t="s">
        <v>29</v>
      </c>
      <c r="E47" s="14" t="s">
        <v>23</v>
      </c>
      <c r="F47" s="14">
        <v>355</v>
      </c>
      <c r="G47" s="15" t="s">
        <v>30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4"/>
        <v>C</v>
      </c>
      <c r="M47" s="1" t="str">
        <f t="shared" si="5"/>
        <v>-</v>
      </c>
      <c r="N47" t="str">
        <f t="shared" si="6"/>
        <v>Beaus Lug Lite Lager 12C -$2 to $22.49</v>
      </c>
      <c r="O47">
        <f t="shared" si="7"/>
        <v>91.833401388321761</v>
      </c>
    </row>
    <row r="48" spans="1:15" ht="15.5" customHeight="1">
      <c r="A48" s="14">
        <v>3888033</v>
      </c>
      <c r="B48" s="15" t="s">
        <v>16</v>
      </c>
      <c r="C48" s="15" t="s">
        <v>74</v>
      </c>
      <c r="D48" s="15" t="s">
        <v>75</v>
      </c>
      <c r="E48" s="14" t="s">
        <v>23</v>
      </c>
      <c r="F48" s="14">
        <v>355</v>
      </c>
      <c r="G48" s="15" t="s">
        <v>30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4"/>
        <v>C</v>
      </c>
      <c r="M48" s="1" t="str">
        <f t="shared" si="5"/>
        <v>-</v>
      </c>
      <c r="N48" t="str">
        <f t="shared" si="6"/>
        <v>Red Baron Light 24C -$2 to $33.04</v>
      </c>
      <c r="O48">
        <f t="shared" si="7"/>
        <v>94.292237442922371</v>
      </c>
    </row>
    <row r="49" spans="1:15" ht="15.5" customHeight="1">
      <c r="A49" s="14">
        <v>1041042</v>
      </c>
      <c r="B49" s="15" t="s">
        <v>16</v>
      </c>
      <c r="C49" s="15" t="s">
        <v>40</v>
      </c>
      <c r="D49" s="15" t="s">
        <v>76</v>
      </c>
      <c r="E49" s="14" t="s">
        <v>23</v>
      </c>
      <c r="F49" s="14">
        <v>473</v>
      </c>
      <c r="G49" s="15" t="s">
        <v>52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4"/>
        <v>TC</v>
      </c>
      <c r="M49" s="1" t="str">
        <f t="shared" si="5"/>
        <v>-</v>
      </c>
      <c r="N49" t="str">
        <f t="shared" si="6"/>
        <v>Bud Light 12TC -$2 to $25.99</v>
      </c>
      <c r="O49">
        <f t="shared" si="7"/>
        <v>92.85459092533047</v>
      </c>
    </row>
    <row r="50" spans="1:15" ht="15.5" customHeight="1">
      <c r="A50" s="14">
        <v>2598042</v>
      </c>
      <c r="B50" s="15" t="s">
        <v>16</v>
      </c>
      <c r="C50" s="15" t="s">
        <v>40</v>
      </c>
      <c r="D50" s="15" t="s">
        <v>77</v>
      </c>
      <c r="E50" s="14" t="s">
        <v>23</v>
      </c>
      <c r="F50" s="14">
        <v>473</v>
      </c>
      <c r="G50" s="15" t="s">
        <v>52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4"/>
        <v>TC</v>
      </c>
      <c r="M50" s="1" t="str">
        <f t="shared" si="5"/>
        <v>-</v>
      </c>
      <c r="N50" t="str">
        <f t="shared" si="6"/>
        <v>Stella Artois 12TC -$2 to $32.49</v>
      </c>
      <c r="O50">
        <f t="shared" si="7"/>
        <v>94.201217744273706</v>
      </c>
    </row>
    <row r="51" spans="1:15" ht="15.5" customHeight="1">
      <c r="A51" s="14">
        <v>3666031</v>
      </c>
      <c r="B51" s="15" t="s">
        <v>16</v>
      </c>
      <c r="C51" s="15" t="s">
        <v>42</v>
      </c>
      <c r="D51" s="15" t="s">
        <v>78</v>
      </c>
      <c r="E51" s="14" t="s">
        <v>23</v>
      </c>
      <c r="F51" s="14">
        <v>355</v>
      </c>
      <c r="G51" s="15" t="s">
        <v>30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4"/>
        <v>C</v>
      </c>
      <c r="M51" s="1" t="str">
        <f t="shared" si="5"/>
        <v>-</v>
      </c>
      <c r="N51" t="str">
        <f t="shared" si="6"/>
        <v>Arizona H&amp;H Mixer 12C -$2 to $24.99</v>
      </c>
      <c r="O51">
        <f t="shared" si="7"/>
        <v>92.589848091885884</v>
      </c>
    </row>
    <row r="52" spans="1:15" ht="15.5" customHeight="1">
      <c r="A52" s="14">
        <v>3654427</v>
      </c>
      <c r="B52" s="15" t="s">
        <v>16</v>
      </c>
      <c r="C52" s="15" t="s">
        <v>42</v>
      </c>
      <c r="D52" s="15" t="s">
        <v>79</v>
      </c>
      <c r="E52" s="14" t="s">
        <v>23</v>
      </c>
      <c r="F52" s="14">
        <v>355</v>
      </c>
      <c r="G52" s="15" t="s">
        <v>30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4"/>
        <v>C</v>
      </c>
      <c r="M52" s="1" t="str">
        <f t="shared" si="5"/>
        <v>-</v>
      </c>
      <c r="N52" t="str">
        <f t="shared" si="6"/>
        <v>Coors Selt Slush Flv 12C -$2 to $23.99</v>
      </c>
      <c r="O52">
        <f t="shared" si="7"/>
        <v>92.304732589457487</v>
      </c>
    </row>
    <row r="53" spans="1:15" ht="15.5" customHeight="1">
      <c r="A53" s="14">
        <v>1056042</v>
      </c>
      <c r="B53" s="15" t="s">
        <v>16</v>
      </c>
      <c r="C53" s="15" t="s">
        <v>42</v>
      </c>
      <c r="D53" s="15" t="s">
        <v>71</v>
      </c>
      <c r="E53" s="14" t="s">
        <v>23</v>
      </c>
      <c r="F53" s="14">
        <v>473</v>
      </c>
      <c r="G53" s="15" t="s">
        <v>52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4"/>
        <v>TC</v>
      </c>
      <c r="M53" s="1" t="str">
        <f t="shared" si="5"/>
        <v>-</v>
      </c>
      <c r="N53" t="str">
        <f t="shared" si="6"/>
        <v>Molson Canadian 12TC -$2 to $25.99</v>
      </c>
      <c r="O53">
        <f t="shared" si="7"/>
        <v>92.85459092533047</v>
      </c>
    </row>
    <row r="54" spans="1:15" ht="15.5" customHeight="1">
      <c r="A54" s="14">
        <v>3668427</v>
      </c>
      <c r="B54" s="15" t="s">
        <v>16</v>
      </c>
      <c r="C54" s="15" t="s">
        <v>42</v>
      </c>
      <c r="D54" s="15" t="s">
        <v>80</v>
      </c>
      <c r="E54" s="14" t="s">
        <v>23</v>
      </c>
      <c r="F54" s="14">
        <v>355</v>
      </c>
      <c r="G54" s="15" t="s">
        <v>30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4"/>
        <v>C</v>
      </c>
      <c r="M54" s="1" t="str">
        <f t="shared" si="5"/>
        <v>-</v>
      </c>
      <c r="N54" t="str">
        <f t="shared" si="6"/>
        <v>Vizzy Selt Vp V2 12C -$2 to $24.99</v>
      </c>
      <c r="O54">
        <f t="shared" si="7"/>
        <v>92.589848091885884</v>
      </c>
    </row>
    <row r="55" spans="1:15" ht="15.5" customHeight="1">
      <c r="A55" s="14">
        <v>1595031</v>
      </c>
      <c r="B55" s="15" t="s">
        <v>16</v>
      </c>
      <c r="C55" s="15" t="s">
        <v>31</v>
      </c>
      <c r="D55" s="15" t="s">
        <v>81</v>
      </c>
      <c r="E55" s="14" t="s">
        <v>23</v>
      </c>
      <c r="F55" s="14">
        <v>355</v>
      </c>
      <c r="G55" s="15" t="s">
        <v>30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4"/>
        <v>C</v>
      </c>
      <c r="M55" s="1" t="str">
        <f t="shared" si="5"/>
        <v>-</v>
      </c>
      <c r="N55" t="str">
        <f t="shared" si="6"/>
        <v>Mad Tom Ipa 12C -$2 to $27.59</v>
      </c>
      <c r="O55">
        <f t="shared" si="7"/>
        <v>93.240959783710707</v>
      </c>
    </row>
    <row r="56" spans="1:15" ht="15.5" customHeight="1">
      <c r="A56" s="14">
        <v>1594031</v>
      </c>
      <c r="B56" s="15" t="s">
        <v>16</v>
      </c>
      <c r="C56" s="15" t="s">
        <v>31</v>
      </c>
      <c r="D56" s="15" t="s">
        <v>82</v>
      </c>
      <c r="E56" s="14" t="s">
        <v>23</v>
      </c>
      <c r="F56" s="14">
        <v>355</v>
      </c>
      <c r="G56" s="15" t="s">
        <v>30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4"/>
        <v>C</v>
      </c>
      <c r="M56" s="1" t="str">
        <f t="shared" si="5"/>
        <v>-</v>
      </c>
      <c r="N56" t="str">
        <f t="shared" si="6"/>
        <v>Muskoka Cream Ale 12C -$2 to $27.09</v>
      </c>
      <c r="O56">
        <f t="shared" si="7"/>
        <v>93.124785149535924</v>
      </c>
    </row>
    <row r="57" spans="1:15" ht="15.5" customHeight="1">
      <c r="A57" s="14">
        <v>3962031</v>
      </c>
      <c r="B57" s="15" t="s">
        <v>16</v>
      </c>
      <c r="C57" s="15" t="s">
        <v>31</v>
      </c>
      <c r="D57" s="15" t="s">
        <v>83</v>
      </c>
      <c r="E57" s="14" t="s">
        <v>23</v>
      </c>
      <c r="F57" s="14">
        <v>355</v>
      </c>
      <c r="G57" s="15" t="s">
        <v>30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4"/>
        <v>C</v>
      </c>
      <c r="M57" s="1" t="str">
        <f t="shared" si="5"/>
        <v>-</v>
      </c>
      <c r="N57" t="str">
        <f t="shared" si="6"/>
        <v>Muskoka Venture Pack 12C -$2 to $25.19</v>
      </c>
      <c r="O57">
        <f t="shared" si="7"/>
        <v>92.644354542111074</v>
      </c>
    </row>
    <row r="58" spans="1:15" ht="15.5" customHeight="1">
      <c r="A58" s="14">
        <v>1491223</v>
      </c>
      <c r="B58" s="15" t="s">
        <v>16</v>
      </c>
      <c r="C58" s="15" t="s">
        <v>25</v>
      </c>
      <c r="D58" s="15" t="s">
        <v>84</v>
      </c>
      <c r="E58" s="14" t="s">
        <v>23</v>
      </c>
      <c r="F58" s="14">
        <v>473</v>
      </c>
      <c r="G58" s="15" t="s">
        <v>52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4"/>
        <v>TC</v>
      </c>
      <c r="M58" s="1" t="str">
        <f t="shared" si="5"/>
        <v>-</v>
      </c>
      <c r="N58" t="str">
        <f t="shared" si="6"/>
        <v>Old Milwaukee Ice 18TC -$1.81 to $32.97</v>
      </c>
      <c r="O58">
        <f t="shared" si="7"/>
        <v>94.7958596894767</v>
      </c>
    </row>
    <row r="59" spans="1:15" ht="15.5" customHeight="1">
      <c r="A59" s="14">
        <v>1491042</v>
      </c>
      <c r="B59" s="15" t="s">
        <v>16</v>
      </c>
      <c r="C59" s="15" t="s">
        <v>25</v>
      </c>
      <c r="D59" s="15" t="s">
        <v>84</v>
      </c>
      <c r="E59" s="14" t="s">
        <v>23</v>
      </c>
      <c r="F59" s="14">
        <v>473</v>
      </c>
      <c r="G59" s="15" t="s">
        <v>52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4"/>
        <v>TC</v>
      </c>
      <c r="M59" s="1" t="str">
        <f t="shared" si="5"/>
        <v>-</v>
      </c>
      <c r="N59" t="str">
        <f t="shared" si="6"/>
        <v>Old Milwaukee Ice 12TC -$1.51 to $21.98</v>
      </c>
      <c r="O59">
        <f t="shared" si="7"/>
        <v>93.571732652192424</v>
      </c>
    </row>
    <row r="60" spans="1:15" ht="15.5" customHeight="1">
      <c r="A60" s="14">
        <v>3410031</v>
      </c>
      <c r="B60" s="15" t="s">
        <v>16</v>
      </c>
      <c r="C60" s="15" t="s">
        <v>85</v>
      </c>
      <c r="D60" s="15" t="s">
        <v>86</v>
      </c>
      <c r="E60" s="14" t="s">
        <v>23</v>
      </c>
      <c r="F60" s="14">
        <v>355</v>
      </c>
      <c r="G60" s="15" t="s">
        <v>30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4"/>
        <v>C</v>
      </c>
      <c r="M60" s="1" t="str">
        <f t="shared" si="5"/>
        <v>-</v>
      </c>
      <c r="N60" t="str">
        <f t="shared" si="6"/>
        <v>Collective Lager 12C -$1.5 to $23.49</v>
      </c>
      <c r="O60">
        <f t="shared" si="7"/>
        <v>93.997599039615835</v>
      </c>
    </row>
    <row r="61" spans="1:15" ht="15.5" customHeight="1">
      <c r="A61" s="14">
        <v>2042291</v>
      </c>
      <c r="B61" s="15" t="s">
        <v>16</v>
      </c>
      <c r="C61" s="15" t="s">
        <v>25</v>
      </c>
      <c r="D61" s="15" t="s">
        <v>26</v>
      </c>
      <c r="E61" s="14" t="s">
        <v>23</v>
      </c>
      <c r="F61" s="14">
        <v>710</v>
      </c>
      <c r="G61" s="15" t="s">
        <v>27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4"/>
        <v>TC</v>
      </c>
      <c r="M61" s="1" t="str">
        <f t="shared" si="5"/>
        <v>-</v>
      </c>
      <c r="N61" t="str">
        <f t="shared" si="6"/>
        <v>Colt 45 4TC -$1.35 to $12.99</v>
      </c>
      <c r="O61">
        <f t="shared" si="7"/>
        <v>90.5857740585774</v>
      </c>
    </row>
    <row r="62" spans="1:15" ht="15.5" customHeight="1">
      <c r="A62" s="14">
        <v>1056041</v>
      </c>
      <c r="B62" s="15" t="s">
        <v>16</v>
      </c>
      <c r="C62" s="15" t="s">
        <v>42</v>
      </c>
      <c r="D62" s="15" t="s">
        <v>71</v>
      </c>
      <c r="E62" s="14" t="s">
        <v>23</v>
      </c>
      <c r="F62" s="14">
        <v>473</v>
      </c>
      <c r="G62" s="15" t="s">
        <v>52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4"/>
        <v>TC</v>
      </c>
      <c r="M62" s="1" t="str">
        <f t="shared" si="5"/>
        <v>-</v>
      </c>
      <c r="N62" t="str">
        <f t="shared" si="6"/>
        <v>Molson Canadian 24TC -$1.1 to $51.89</v>
      </c>
      <c r="O62">
        <f t="shared" si="7"/>
        <v>97.924136629552734</v>
      </c>
    </row>
    <row r="63" spans="1:15" ht="15.5" customHeight="1">
      <c r="A63" s="14">
        <v>1491041</v>
      </c>
      <c r="B63" s="15" t="s">
        <v>16</v>
      </c>
      <c r="C63" s="15" t="s">
        <v>25</v>
      </c>
      <c r="D63" s="15" t="s">
        <v>84</v>
      </c>
      <c r="E63" s="14" t="s">
        <v>23</v>
      </c>
      <c r="F63" s="14">
        <v>473</v>
      </c>
      <c r="G63" s="15" t="s">
        <v>52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4"/>
        <v>TC</v>
      </c>
      <c r="M63" s="1" t="str">
        <f t="shared" si="5"/>
        <v>-</v>
      </c>
      <c r="N63" t="str">
        <f t="shared" si="6"/>
        <v>Old Milwaukee Ice 24TC -$1.03 to $43.96</v>
      </c>
      <c r="O63">
        <f t="shared" si="7"/>
        <v>97.710602356079121</v>
      </c>
    </row>
    <row r="64" spans="1:15" ht="15.5" customHeight="1">
      <c r="A64" s="14">
        <v>1525038</v>
      </c>
      <c r="B64" s="15" t="s">
        <v>16</v>
      </c>
      <c r="C64" s="15" t="s">
        <v>85</v>
      </c>
      <c r="D64" s="15" t="s">
        <v>87</v>
      </c>
      <c r="E64" s="14" t="s">
        <v>23</v>
      </c>
      <c r="F64" s="14">
        <v>473</v>
      </c>
      <c r="G64" s="15" t="s">
        <v>52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4"/>
        <v>TC</v>
      </c>
      <c r="M64" s="1" t="str">
        <f t="shared" si="5"/>
        <v>-</v>
      </c>
      <c r="N64" t="str">
        <f t="shared" si="6"/>
        <v>Collective Ransack 6TC -$1 to $18.99</v>
      </c>
      <c r="O64">
        <f t="shared" si="7"/>
        <v>94.997498749374685</v>
      </c>
    </row>
    <row r="65" spans="1:15" ht="15.5" customHeight="1">
      <c r="A65" s="14">
        <v>3879038</v>
      </c>
      <c r="B65" s="15" t="s">
        <v>16</v>
      </c>
      <c r="C65" s="15" t="s">
        <v>50</v>
      </c>
      <c r="D65" s="15" t="s">
        <v>51</v>
      </c>
      <c r="E65" s="14" t="s">
        <v>23</v>
      </c>
      <c r="F65" s="14">
        <v>473</v>
      </c>
      <c r="G65" s="15" t="s">
        <v>52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4"/>
        <v>TC</v>
      </c>
      <c r="M65" s="1" t="str">
        <f t="shared" si="5"/>
        <v>-</v>
      </c>
      <c r="N65" t="str">
        <f t="shared" si="6"/>
        <v>Gone Fishin Light 6TC -$1 to $14.99</v>
      </c>
      <c r="O65">
        <f t="shared" si="7"/>
        <v>93.746091307066919</v>
      </c>
    </row>
    <row r="66" spans="1:15" ht="15.5" customHeight="1">
      <c r="A66" s="14">
        <v>3154038</v>
      </c>
      <c r="B66" s="15" t="s">
        <v>16</v>
      </c>
      <c r="C66" s="15" t="s">
        <v>50</v>
      </c>
      <c r="D66" s="15" t="s">
        <v>53</v>
      </c>
      <c r="E66" s="14" t="s">
        <v>23</v>
      </c>
      <c r="F66" s="14">
        <v>473</v>
      </c>
      <c r="G66" s="15" t="s">
        <v>52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4"/>
        <v>TC</v>
      </c>
      <c r="M66" s="1" t="str">
        <f t="shared" si="5"/>
        <v>-</v>
      </c>
      <c r="N66" t="str">
        <f t="shared" si="6"/>
        <v>Longhorn Lager 6TC -$1 to $15.99</v>
      </c>
      <c r="O66">
        <f t="shared" si="7"/>
        <v>94.11418481459684</v>
      </c>
    </row>
    <row r="67" spans="1:15" ht="15.5" customHeight="1">
      <c r="A67" s="14">
        <v>3715038</v>
      </c>
      <c r="B67" s="15" t="s">
        <v>16</v>
      </c>
      <c r="C67" s="15" t="s">
        <v>50</v>
      </c>
      <c r="D67" s="15" t="s">
        <v>54</v>
      </c>
      <c r="E67" s="14" t="s">
        <v>23</v>
      </c>
      <c r="F67" s="14">
        <v>473</v>
      </c>
      <c r="G67" s="15" t="s">
        <v>52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4"/>
        <v>TC</v>
      </c>
      <c r="M67" s="1" t="str">
        <f t="shared" si="5"/>
        <v>-</v>
      </c>
      <c r="N67" t="str">
        <f t="shared" si="6"/>
        <v>Rough Stock Ipa 6TC -$1 to $16.99</v>
      </c>
      <c r="O67">
        <f t="shared" si="7"/>
        <v>94.441356309060581</v>
      </c>
    </row>
    <row r="68" spans="1:15" ht="15.5" customHeight="1">
      <c r="A68" s="14">
        <v>3775038</v>
      </c>
      <c r="B68" s="15" t="s">
        <v>16</v>
      </c>
      <c r="C68" s="15" t="s">
        <v>42</v>
      </c>
      <c r="D68" s="15" t="s">
        <v>88</v>
      </c>
      <c r="E68" s="14" t="s">
        <v>23</v>
      </c>
      <c r="F68" s="14">
        <v>473</v>
      </c>
      <c r="G68" s="15" t="s">
        <v>52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4"/>
        <v>TC</v>
      </c>
      <c r="M68" s="1" t="str">
        <f t="shared" si="5"/>
        <v>-</v>
      </c>
      <c r="N68" t="str">
        <f t="shared" si="6"/>
        <v>Creemore Light Lager 6TC -$1 to $16.69</v>
      </c>
      <c r="O68">
        <f t="shared" si="7"/>
        <v>94.347088750706604</v>
      </c>
    </row>
    <row r="69" spans="1:15" ht="15.5" customHeight="1">
      <c r="A69" s="14">
        <v>1628031</v>
      </c>
      <c r="B69" s="15" t="s">
        <v>16</v>
      </c>
      <c r="C69" s="15" t="s">
        <v>38</v>
      </c>
      <c r="D69" s="15" t="s">
        <v>72</v>
      </c>
      <c r="E69" s="14" t="s">
        <v>23</v>
      </c>
      <c r="F69" s="14">
        <v>355</v>
      </c>
      <c r="G69" s="15" t="s">
        <v>30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4"/>
        <v>C</v>
      </c>
      <c r="M69" s="1" t="str">
        <f t="shared" si="5"/>
        <v>-</v>
      </c>
      <c r="N69" t="str">
        <f t="shared" si="6"/>
        <v>Moosehead Lager 12C -$1 to $22.89</v>
      </c>
      <c r="O69">
        <f t="shared" si="7"/>
        <v>95.814148179154458</v>
      </c>
    </row>
    <row r="70" spans="1:15" ht="15.5" customHeight="1">
      <c r="A70" s="14">
        <v>1491038</v>
      </c>
      <c r="B70" s="15" t="s">
        <v>16</v>
      </c>
      <c r="C70" s="15" t="s">
        <v>25</v>
      </c>
      <c r="D70" s="15" t="s">
        <v>84</v>
      </c>
      <c r="E70" s="14" t="s">
        <v>23</v>
      </c>
      <c r="F70" s="14">
        <v>473</v>
      </c>
      <c r="G70" s="15" t="s">
        <v>52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4"/>
        <v>TC</v>
      </c>
      <c r="M70" s="1" t="str">
        <f t="shared" si="5"/>
        <v>-</v>
      </c>
      <c r="N70" t="str">
        <f t="shared" si="6"/>
        <v>Old Milwaukee Ice 6TC -$1 to $10.99</v>
      </c>
      <c r="O70">
        <f t="shared" si="7"/>
        <v>91.659716430358628</v>
      </c>
    </row>
    <row r="71" spans="1:15" ht="15.5" customHeight="1">
      <c r="A71" s="14">
        <v>1448038</v>
      </c>
      <c r="B71" s="15" t="s">
        <v>16</v>
      </c>
      <c r="C71" s="15" t="s">
        <v>64</v>
      </c>
      <c r="D71" s="15" t="s">
        <v>65</v>
      </c>
      <c r="E71" s="14" t="s">
        <v>23</v>
      </c>
      <c r="F71" s="14">
        <v>473</v>
      </c>
      <c r="G71" s="15" t="s">
        <v>52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4"/>
        <v>TC</v>
      </c>
      <c r="M71" s="1" t="str">
        <f t="shared" si="5"/>
        <v>-</v>
      </c>
      <c r="N71" t="str">
        <f t="shared" si="6"/>
        <v>Helles Lager 6TC -$1 to $16.49</v>
      </c>
      <c r="O71">
        <f t="shared" si="7"/>
        <v>94.282447112635793</v>
      </c>
    </row>
    <row r="72" spans="1:15" ht="15.5" customHeight="1">
      <c r="A72" s="14">
        <v>2042290</v>
      </c>
      <c r="B72" s="15" t="s">
        <v>16</v>
      </c>
      <c r="C72" s="15" t="s">
        <v>25</v>
      </c>
      <c r="D72" s="15" t="s">
        <v>26</v>
      </c>
      <c r="E72" s="14" t="s">
        <v>23</v>
      </c>
      <c r="F72" s="14">
        <v>710</v>
      </c>
      <c r="G72" s="15" t="s">
        <v>27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4"/>
        <v>TC</v>
      </c>
      <c r="M72" s="1" t="str">
        <f t="shared" si="5"/>
        <v>-</v>
      </c>
      <c r="N72" t="str">
        <f t="shared" si="6"/>
        <v>Colt 45 2TC -$0.85 to $6.5</v>
      </c>
      <c r="O72">
        <f t="shared" si="7"/>
        <v>88.435374149659879</v>
      </c>
    </row>
    <row r="73" spans="1:15" ht="15.5" customHeight="1">
      <c r="A73" s="14">
        <v>3537296</v>
      </c>
      <c r="B73" s="15" t="s">
        <v>16</v>
      </c>
      <c r="C73" s="15" t="s">
        <v>85</v>
      </c>
      <c r="D73" s="15" t="s">
        <v>89</v>
      </c>
      <c r="E73" s="14" t="s">
        <v>23</v>
      </c>
      <c r="F73" s="14">
        <v>355</v>
      </c>
      <c r="G73" s="15" t="s">
        <v>30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8">IF(F73&gt;355,"TC",LEFT(E73,1))</f>
        <v>C</v>
      </c>
      <c r="M73" s="1" t="str">
        <f t="shared" ref="M73:M104" si="9">IF(K73&gt;0,"+","-")</f>
        <v>-</v>
      </c>
      <c r="N73" t="str">
        <f t="shared" ref="N73:N104" si="10">PROPER($D73)&amp;" "&amp;$H73&amp;$L73&amp;" "&amp;$M73&amp;"$"&amp;ABS($K73)&amp;" to $"&amp;$J73</f>
        <v>Na Hazy Pale Ale 4C -$0.75 to $7.7</v>
      </c>
      <c r="O73">
        <f t="shared" ref="O73:O104" si="11">(J73/I73)*100</f>
        <v>91.124260355029591</v>
      </c>
    </row>
    <row r="74" spans="1:15" ht="15.5" customHeight="1">
      <c r="A74" s="14">
        <v>2042024</v>
      </c>
      <c r="B74" s="15" t="s">
        <v>16</v>
      </c>
      <c r="C74" s="15" t="s">
        <v>25</v>
      </c>
      <c r="D74" s="15" t="s">
        <v>26</v>
      </c>
      <c r="E74" s="14" t="s">
        <v>90</v>
      </c>
      <c r="F74" s="14">
        <v>710</v>
      </c>
      <c r="G74" s="15" t="s">
        <v>91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8"/>
        <v>TC</v>
      </c>
      <c r="M74" s="1" t="str">
        <f t="shared" si="9"/>
        <v>-</v>
      </c>
      <c r="N74" t="str">
        <f t="shared" si="10"/>
        <v>Colt 45 1TC -$0.51 to $3.25</v>
      </c>
      <c r="O74">
        <f t="shared" si="11"/>
        <v>86.436170212765958</v>
      </c>
    </row>
    <row r="75" spans="1:15" ht="15.5" customHeight="1">
      <c r="A75" s="14">
        <v>2084100</v>
      </c>
      <c r="B75" s="15" t="s">
        <v>16</v>
      </c>
      <c r="C75" s="15" t="s">
        <v>40</v>
      </c>
      <c r="D75" s="15" t="s">
        <v>76</v>
      </c>
      <c r="E75" s="14" t="s">
        <v>19</v>
      </c>
      <c r="F75" s="14">
        <v>341</v>
      </c>
      <c r="G75" s="15" t="s">
        <v>20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8"/>
        <v>B</v>
      </c>
      <c r="M75" s="1" t="str">
        <f t="shared" si="9"/>
        <v>-</v>
      </c>
      <c r="N75" t="str">
        <f t="shared" si="10"/>
        <v>Bud Light 28B -$0.5 to $43.49</v>
      </c>
      <c r="O75">
        <f t="shared" si="11"/>
        <v>98.863378040463743</v>
      </c>
    </row>
    <row r="76" spans="1:15" ht="15.5" customHeight="1">
      <c r="A76" s="14">
        <v>2085100</v>
      </c>
      <c r="B76" s="15" t="s">
        <v>16</v>
      </c>
      <c r="C76" s="15" t="s">
        <v>40</v>
      </c>
      <c r="D76" s="15" t="s">
        <v>41</v>
      </c>
      <c r="E76" s="14" t="s">
        <v>19</v>
      </c>
      <c r="F76" s="14">
        <v>341</v>
      </c>
      <c r="G76" s="15" t="s">
        <v>20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8"/>
        <v>B</v>
      </c>
      <c r="M76" s="1" t="str">
        <f t="shared" si="9"/>
        <v>-</v>
      </c>
      <c r="N76" t="str">
        <f t="shared" si="10"/>
        <v>Budweiser 28B -$0.5 to $43.49</v>
      </c>
      <c r="O76">
        <f t="shared" si="11"/>
        <v>98.863378040463743</v>
      </c>
    </row>
    <row r="77" spans="1:15" ht="15.5" customHeight="1">
      <c r="A77" s="14">
        <v>2597355</v>
      </c>
      <c r="B77" s="15" t="s">
        <v>16</v>
      </c>
      <c r="C77" s="15" t="s">
        <v>40</v>
      </c>
      <c r="D77" s="15" t="s">
        <v>92</v>
      </c>
      <c r="E77" s="14" t="s">
        <v>19</v>
      </c>
      <c r="F77" s="14">
        <v>330</v>
      </c>
      <c r="G77" s="15" t="s">
        <v>36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8"/>
        <v>B</v>
      </c>
      <c r="M77" s="1" t="str">
        <f t="shared" si="9"/>
        <v>-</v>
      </c>
      <c r="N77" t="str">
        <f t="shared" si="10"/>
        <v>Corona 24B -$0.5 to $49.99</v>
      </c>
      <c r="O77">
        <f t="shared" si="11"/>
        <v>99.00970489205784</v>
      </c>
    </row>
    <row r="78" spans="1:15" ht="15.5" customHeight="1">
      <c r="A78" s="14">
        <v>1629042</v>
      </c>
      <c r="B78" s="15" t="s">
        <v>16</v>
      </c>
      <c r="C78" s="15" t="s">
        <v>38</v>
      </c>
      <c r="D78" s="15" t="s">
        <v>93</v>
      </c>
      <c r="E78" s="14" t="s">
        <v>23</v>
      </c>
      <c r="F78" s="14">
        <v>473</v>
      </c>
      <c r="G78" s="15" t="s">
        <v>52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8"/>
        <v>TC</v>
      </c>
      <c r="M78" s="1" t="str">
        <f t="shared" si="9"/>
        <v>-</v>
      </c>
      <c r="N78" t="str">
        <f t="shared" si="10"/>
        <v>Cracked Canoe 12TC -$0.5 to $27.99</v>
      </c>
      <c r="O78">
        <f t="shared" si="11"/>
        <v>98.244998244998243</v>
      </c>
    </row>
    <row r="79" spans="1:15" ht="15.5" customHeight="1">
      <c r="A79" s="14">
        <v>1628042</v>
      </c>
      <c r="B79" s="15" t="s">
        <v>16</v>
      </c>
      <c r="C79" s="15" t="s">
        <v>38</v>
      </c>
      <c r="D79" s="15" t="s">
        <v>72</v>
      </c>
      <c r="E79" s="14" t="s">
        <v>23</v>
      </c>
      <c r="F79" s="14">
        <v>473</v>
      </c>
      <c r="G79" s="15" t="s">
        <v>52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8"/>
        <v>TC</v>
      </c>
      <c r="M79" s="1" t="str">
        <f t="shared" si="9"/>
        <v>-</v>
      </c>
      <c r="N79" t="str">
        <f t="shared" si="10"/>
        <v>Moosehead Lager 12TC -$0.5 to $27.99</v>
      </c>
      <c r="O79">
        <f t="shared" si="11"/>
        <v>98.244998244998243</v>
      </c>
    </row>
    <row r="80" spans="1:15" ht="15.5" customHeight="1">
      <c r="A80" s="14">
        <v>1041031</v>
      </c>
      <c r="B80" s="15" t="s">
        <v>16</v>
      </c>
      <c r="C80" s="15" t="s">
        <v>40</v>
      </c>
      <c r="D80" s="15" t="s">
        <v>76</v>
      </c>
      <c r="E80" s="14" t="s">
        <v>23</v>
      </c>
      <c r="F80" s="14">
        <v>355</v>
      </c>
      <c r="G80" s="15" t="s">
        <v>30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8"/>
        <v>C</v>
      </c>
      <c r="M80" s="1" t="str">
        <f t="shared" si="9"/>
        <v>-</v>
      </c>
      <c r="N80" t="str">
        <f t="shared" si="10"/>
        <v>Bud Light 12C -$0.3 to $23.99</v>
      </c>
      <c r="O80">
        <f t="shared" si="11"/>
        <v>98.764923836969942</v>
      </c>
    </row>
    <row r="81" spans="1:15" ht="15.5" customHeight="1">
      <c r="A81" s="14">
        <v>1035031</v>
      </c>
      <c r="B81" s="15" t="s">
        <v>16</v>
      </c>
      <c r="C81" s="15" t="s">
        <v>40</v>
      </c>
      <c r="D81" s="15" t="s">
        <v>41</v>
      </c>
      <c r="E81" s="14" t="s">
        <v>23</v>
      </c>
      <c r="F81" s="14">
        <v>355</v>
      </c>
      <c r="G81" s="15" t="s">
        <v>30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8"/>
        <v>C</v>
      </c>
      <c r="M81" s="1" t="str">
        <f t="shared" si="9"/>
        <v>-</v>
      </c>
      <c r="N81" t="str">
        <f t="shared" si="10"/>
        <v>Budweiser 12C -$0.3 to $23.99</v>
      </c>
      <c r="O81">
        <f t="shared" si="11"/>
        <v>98.764923836969942</v>
      </c>
    </row>
    <row r="82" spans="1:15" ht="15.5" customHeight="1">
      <c r="A82" s="14">
        <v>2598012</v>
      </c>
      <c r="B82" s="15" t="s">
        <v>16</v>
      </c>
      <c r="C82" s="15" t="s">
        <v>40</v>
      </c>
      <c r="D82" s="15" t="s">
        <v>77</v>
      </c>
      <c r="E82" s="14" t="s">
        <v>19</v>
      </c>
      <c r="F82" s="14">
        <v>330</v>
      </c>
      <c r="G82" s="15" t="s">
        <v>36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8"/>
        <v>B</v>
      </c>
      <c r="M82" s="1" t="str">
        <f t="shared" si="9"/>
        <v>-</v>
      </c>
      <c r="N82" t="str">
        <f t="shared" si="10"/>
        <v>Stella Artois 12B -$0.3 to $28.19</v>
      </c>
      <c r="O82">
        <f t="shared" si="11"/>
        <v>98.94699894699896</v>
      </c>
    </row>
    <row r="83" spans="1:15" ht="15.5" customHeight="1">
      <c r="A83" s="14">
        <v>1448004</v>
      </c>
      <c r="B83" s="15" t="s">
        <v>16</v>
      </c>
      <c r="C83" s="15" t="s">
        <v>64</v>
      </c>
      <c r="D83" s="15" t="s">
        <v>65</v>
      </c>
      <c r="E83" s="14" t="s">
        <v>90</v>
      </c>
      <c r="F83" s="14">
        <v>473</v>
      </c>
      <c r="G83" s="15" t="s">
        <v>94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8"/>
        <v>TC</v>
      </c>
      <c r="M83" s="1" t="str">
        <f t="shared" si="9"/>
        <v>-</v>
      </c>
      <c r="N83" t="str">
        <f t="shared" si="10"/>
        <v>Helles Lager 1TC -$0.3 to $2.85</v>
      </c>
      <c r="O83">
        <f t="shared" si="11"/>
        <v>90.476190476190482</v>
      </c>
    </row>
    <row r="84" spans="1:15" ht="15.5" customHeight="1">
      <c r="A84" s="14">
        <v>1119063</v>
      </c>
      <c r="B84" s="15" t="s">
        <v>16</v>
      </c>
      <c r="C84" s="15" t="s">
        <v>95</v>
      </c>
      <c r="D84" s="15" t="s">
        <v>96</v>
      </c>
      <c r="E84" s="14" t="s">
        <v>90</v>
      </c>
      <c r="F84" s="14">
        <v>500</v>
      </c>
      <c r="G84" s="15" t="s">
        <v>97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8"/>
        <v>TC</v>
      </c>
      <c r="M84" s="1" t="str">
        <f t="shared" si="9"/>
        <v>-</v>
      </c>
      <c r="N84" t="str">
        <f t="shared" si="10"/>
        <v>Hacker Weissbier 1TC -$0.26 to $2.57</v>
      </c>
      <c r="O84">
        <f t="shared" si="11"/>
        <v>90.812720848056529</v>
      </c>
    </row>
    <row r="85" spans="1:15" ht="15.5" customHeight="1">
      <c r="A85" s="14">
        <v>2662063</v>
      </c>
      <c r="B85" s="15" t="s">
        <v>16</v>
      </c>
      <c r="C85" s="15" t="s">
        <v>98</v>
      </c>
      <c r="D85" s="15" t="s">
        <v>99</v>
      </c>
      <c r="E85" s="14" t="s">
        <v>90</v>
      </c>
      <c r="F85" s="14">
        <v>500</v>
      </c>
      <c r="G85" s="15" t="s">
        <v>97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8"/>
        <v>TC</v>
      </c>
      <c r="M85" s="1" t="str">
        <f t="shared" si="9"/>
        <v>-</v>
      </c>
      <c r="N85" t="str">
        <f t="shared" si="10"/>
        <v>Paulaner Hell Munch 1TC -$0.25 to $2.18</v>
      </c>
      <c r="O85">
        <f t="shared" si="11"/>
        <v>89.711934156378604</v>
      </c>
    </row>
    <row r="86" spans="1:15" ht="15.5" customHeight="1">
      <c r="A86" s="14">
        <v>1161063</v>
      </c>
      <c r="B86" s="15" t="s">
        <v>16</v>
      </c>
      <c r="C86" s="15" t="s">
        <v>98</v>
      </c>
      <c r="D86" s="15" t="s">
        <v>100</v>
      </c>
      <c r="E86" s="14" t="s">
        <v>90</v>
      </c>
      <c r="F86" s="14">
        <v>500</v>
      </c>
      <c r="G86" s="15" t="s">
        <v>97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8"/>
        <v>TC</v>
      </c>
      <c r="M86" s="1" t="str">
        <f t="shared" si="9"/>
        <v>-</v>
      </c>
      <c r="N86" t="str">
        <f t="shared" si="10"/>
        <v>Paulaner Weissbier 1TC -$0.25 to $2.76</v>
      </c>
      <c r="O86">
        <f t="shared" si="11"/>
        <v>91.694352159468437</v>
      </c>
    </row>
    <row r="87" spans="1:15" ht="15.5" customHeight="1">
      <c r="A87" s="14">
        <v>1632038</v>
      </c>
      <c r="B87" s="15" t="s">
        <v>16</v>
      </c>
      <c r="C87" s="15" t="s">
        <v>38</v>
      </c>
      <c r="D87" s="15" t="s">
        <v>101</v>
      </c>
      <c r="E87" s="14" t="s">
        <v>23</v>
      </c>
      <c r="F87" s="14">
        <v>473</v>
      </c>
      <c r="G87" s="15" t="s">
        <v>52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8"/>
        <v>TC</v>
      </c>
      <c r="M87" s="1" t="str">
        <f t="shared" si="9"/>
        <v>-</v>
      </c>
      <c r="N87" t="str">
        <f t="shared" si="10"/>
        <v>Alpine Lager 6TC -$0.2 to $14.99</v>
      </c>
      <c r="O87">
        <f t="shared" si="11"/>
        <v>98.683344305464132</v>
      </c>
    </row>
    <row r="88" spans="1:15" ht="15.5" customHeight="1">
      <c r="A88" s="14">
        <v>1629038</v>
      </c>
      <c r="B88" s="15" t="s">
        <v>16</v>
      </c>
      <c r="C88" s="15" t="s">
        <v>38</v>
      </c>
      <c r="D88" s="15" t="s">
        <v>93</v>
      </c>
      <c r="E88" s="14" t="s">
        <v>23</v>
      </c>
      <c r="F88" s="14">
        <v>473</v>
      </c>
      <c r="G88" s="15" t="s">
        <v>52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8"/>
        <v>TC</v>
      </c>
      <c r="M88" s="1" t="str">
        <f t="shared" si="9"/>
        <v>-</v>
      </c>
      <c r="N88" t="str">
        <f t="shared" si="10"/>
        <v>Cracked Canoe 6TC -$0.2 to $14.99</v>
      </c>
      <c r="O88">
        <f t="shared" si="11"/>
        <v>98.683344305464132</v>
      </c>
    </row>
    <row r="89" spans="1:15" ht="15.5" customHeight="1">
      <c r="A89" s="14">
        <v>1628038</v>
      </c>
      <c r="B89" s="15" t="s">
        <v>16</v>
      </c>
      <c r="C89" s="15" t="s">
        <v>38</v>
      </c>
      <c r="D89" s="15" t="s">
        <v>72</v>
      </c>
      <c r="E89" s="14" t="s">
        <v>23</v>
      </c>
      <c r="F89" s="14">
        <v>473</v>
      </c>
      <c r="G89" s="15" t="s">
        <v>52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8"/>
        <v>TC</v>
      </c>
      <c r="M89" s="1" t="str">
        <f t="shared" si="9"/>
        <v>-</v>
      </c>
      <c r="N89" t="str">
        <f t="shared" si="10"/>
        <v>Moosehead Lager 6TC -$0.2 to $14.99</v>
      </c>
      <c r="O89">
        <f t="shared" si="11"/>
        <v>98.683344305464132</v>
      </c>
    </row>
    <row r="90" spans="1:15" ht="15.5" customHeight="1">
      <c r="A90" s="14">
        <v>1219063</v>
      </c>
      <c r="B90" s="15" t="s">
        <v>16</v>
      </c>
      <c r="C90" s="15" t="s">
        <v>102</v>
      </c>
      <c r="D90" s="15" t="s">
        <v>103</v>
      </c>
      <c r="E90" s="14" t="s">
        <v>90</v>
      </c>
      <c r="F90" s="14">
        <v>500</v>
      </c>
      <c r="G90" s="15" t="s">
        <v>97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8"/>
        <v>TC</v>
      </c>
      <c r="M90" s="1" t="str">
        <f t="shared" si="9"/>
        <v>-</v>
      </c>
      <c r="N90" t="str">
        <f t="shared" si="10"/>
        <v>Tyskie Gronie 1TC -$0.15 to $2.34</v>
      </c>
      <c r="O90">
        <f t="shared" si="11"/>
        <v>93.97590361445782</v>
      </c>
    </row>
    <row r="91" spans="1:15" ht="15.5" customHeight="1">
      <c r="A91" s="14">
        <v>3452004</v>
      </c>
      <c r="B91" s="15" t="s">
        <v>16</v>
      </c>
      <c r="C91" s="15" t="s">
        <v>38</v>
      </c>
      <c r="D91" s="15" t="s">
        <v>104</v>
      </c>
      <c r="E91" s="14" t="s">
        <v>90</v>
      </c>
      <c r="F91" s="14">
        <v>473</v>
      </c>
      <c r="G91" s="15" t="s">
        <v>94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8"/>
        <v>TC</v>
      </c>
      <c r="M91" s="1" t="str">
        <f t="shared" si="9"/>
        <v>-</v>
      </c>
      <c r="N91" t="str">
        <f t="shared" si="10"/>
        <v>Grolsch 1TC -$0.15 to $2.3</v>
      </c>
      <c r="O91">
        <f t="shared" si="11"/>
        <v>93.877551020408148</v>
      </c>
    </row>
    <row r="92" spans="1:15" ht="15.5" customHeight="1">
      <c r="A92" s="14">
        <v>1620004</v>
      </c>
      <c r="B92" s="15" t="s">
        <v>16</v>
      </c>
      <c r="C92" s="15" t="s">
        <v>38</v>
      </c>
      <c r="D92" s="15" t="s">
        <v>105</v>
      </c>
      <c r="E92" s="14" t="s">
        <v>90</v>
      </c>
      <c r="F92" s="14">
        <v>473</v>
      </c>
      <c r="G92" s="15" t="s">
        <v>94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8"/>
        <v>TC</v>
      </c>
      <c r="M92" s="1" t="str">
        <f t="shared" si="9"/>
        <v>-</v>
      </c>
      <c r="N92" t="str">
        <f t="shared" si="10"/>
        <v>Moosehead Radler 1TC -$0.06 to $2.99</v>
      </c>
      <c r="O92">
        <f t="shared" si="11"/>
        <v>98.032786885245912</v>
      </c>
    </row>
    <row r="93" spans="1:15" ht="15.5" customHeight="1">
      <c r="A93" s="14">
        <v>1194063</v>
      </c>
      <c r="B93" s="15" t="s">
        <v>16</v>
      </c>
      <c r="C93" s="15" t="s">
        <v>95</v>
      </c>
      <c r="D93" s="15" t="s">
        <v>106</v>
      </c>
      <c r="E93" s="14" t="s">
        <v>90</v>
      </c>
      <c r="F93" s="14">
        <v>500</v>
      </c>
      <c r="G93" s="15" t="s">
        <v>97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8"/>
        <v>TC</v>
      </c>
      <c r="M93" s="1" t="str">
        <f t="shared" si="9"/>
        <v>+</v>
      </c>
      <c r="N93" t="str">
        <f t="shared" si="10"/>
        <v>Munich Gold Lager 1TC +$0.04 to $2.43</v>
      </c>
      <c r="O93">
        <f t="shared" si="11"/>
        <v>101.67364016736403</v>
      </c>
    </row>
    <row r="94" spans="1:15" ht="15.5" customHeight="1">
      <c r="A94" s="14">
        <v>3154004</v>
      </c>
      <c r="B94" s="15" t="s">
        <v>16</v>
      </c>
      <c r="C94" s="15" t="s">
        <v>50</v>
      </c>
      <c r="D94" s="15" t="s">
        <v>53</v>
      </c>
      <c r="E94" s="14" t="s">
        <v>90</v>
      </c>
      <c r="F94" s="14">
        <v>473</v>
      </c>
      <c r="G94" s="15" t="s">
        <v>94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8"/>
        <v>TC</v>
      </c>
      <c r="M94" s="1" t="str">
        <f t="shared" si="9"/>
        <v>+</v>
      </c>
      <c r="N94" t="str">
        <f t="shared" si="10"/>
        <v>Longhorn Lager 1TC +$0.1 to $2.89</v>
      </c>
      <c r="O94">
        <f t="shared" si="11"/>
        <v>103.58422939068102</v>
      </c>
    </row>
    <row r="95" spans="1:15" ht="15.5" customHeight="1">
      <c r="A95" s="14">
        <v>1624004</v>
      </c>
      <c r="B95" s="15" t="s">
        <v>16</v>
      </c>
      <c r="C95" s="15" t="s">
        <v>38</v>
      </c>
      <c r="D95" s="15" t="s">
        <v>107</v>
      </c>
      <c r="E95" s="14" t="s">
        <v>90</v>
      </c>
      <c r="F95" s="14">
        <v>473</v>
      </c>
      <c r="G95" s="15" t="s">
        <v>94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8"/>
        <v>TC</v>
      </c>
      <c r="M95" s="1" t="str">
        <f t="shared" si="9"/>
        <v>+</v>
      </c>
      <c r="N95" t="str">
        <f t="shared" si="10"/>
        <v>Moosehead Light 1TC +$0.1 to $2.69</v>
      </c>
      <c r="O95">
        <f t="shared" si="11"/>
        <v>103.86100386100388</v>
      </c>
    </row>
    <row r="96" spans="1:15" ht="15.5" customHeight="1">
      <c r="A96" s="14">
        <v>2975004</v>
      </c>
      <c r="B96" s="15" t="s">
        <v>16</v>
      </c>
      <c r="C96" s="15" t="s">
        <v>108</v>
      </c>
      <c r="D96" s="15" t="s">
        <v>109</v>
      </c>
      <c r="E96" s="14" t="s">
        <v>90</v>
      </c>
      <c r="F96" s="14">
        <v>473</v>
      </c>
      <c r="G96" s="15" t="s">
        <v>94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8"/>
        <v>TC</v>
      </c>
      <c r="M96" s="1" t="str">
        <f t="shared" si="9"/>
        <v>+</v>
      </c>
      <c r="N96" t="str">
        <f t="shared" si="10"/>
        <v>Stockyards Lager 1TC +$0.18 to $3.32</v>
      </c>
      <c r="O96">
        <f t="shared" si="11"/>
        <v>105.73248407643312</v>
      </c>
    </row>
    <row r="97" spans="1:15" ht="15.5" customHeight="1">
      <c r="A97" s="14">
        <v>3715004</v>
      </c>
      <c r="B97" s="15" t="s">
        <v>16</v>
      </c>
      <c r="C97" s="15" t="s">
        <v>50</v>
      </c>
      <c r="D97" s="15" t="s">
        <v>54</v>
      </c>
      <c r="E97" s="14" t="s">
        <v>90</v>
      </c>
      <c r="F97" s="14">
        <v>473</v>
      </c>
      <c r="G97" s="15" t="s">
        <v>94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8"/>
        <v>TC</v>
      </c>
      <c r="M97" s="1" t="str">
        <f t="shared" si="9"/>
        <v>+</v>
      </c>
      <c r="N97" t="str">
        <f t="shared" si="10"/>
        <v>Rough Stock Ipa 1TC +$0.2 to $3.19</v>
      </c>
      <c r="O97">
        <f t="shared" si="11"/>
        <v>106.68896321070234</v>
      </c>
    </row>
    <row r="98" spans="1:15" ht="15.5" customHeight="1">
      <c r="A98" s="14">
        <v>1584004</v>
      </c>
      <c r="B98" s="15" t="s">
        <v>33</v>
      </c>
      <c r="C98" s="15" t="s">
        <v>61</v>
      </c>
      <c r="D98" s="15" t="s">
        <v>62</v>
      </c>
      <c r="E98" s="14" t="s">
        <v>90</v>
      </c>
      <c r="F98" s="14">
        <v>473</v>
      </c>
      <c r="G98" s="15" t="s">
        <v>94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8"/>
        <v>TC</v>
      </c>
      <c r="M98" s="1" t="str">
        <f t="shared" si="9"/>
        <v>+</v>
      </c>
      <c r="N98" t="str">
        <f t="shared" si="10"/>
        <v>Headstock Ipa 1TC +$0.25 to $3.3</v>
      </c>
      <c r="O98">
        <f t="shared" si="11"/>
        <v>108.19672131147541</v>
      </c>
    </row>
    <row r="99" spans="1:15" ht="15.5" customHeight="1">
      <c r="A99" s="14">
        <v>1584004</v>
      </c>
      <c r="B99" s="15" t="s">
        <v>16</v>
      </c>
      <c r="C99" s="15" t="s">
        <v>61</v>
      </c>
      <c r="D99" s="15" t="s">
        <v>62</v>
      </c>
      <c r="E99" s="14" t="s">
        <v>90</v>
      </c>
      <c r="F99" s="14">
        <v>473</v>
      </c>
      <c r="G99" s="15" t="s">
        <v>94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8"/>
        <v>TC</v>
      </c>
      <c r="M99" s="1" t="str">
        <f t="shared" si="9"/>
        <v>+</v>
      </c>
      <c r="N99" t="str">
        <f t="shared" si="10"/>
        <v>Headstock Ipa 1TC +$0.25 to $3.3</v>
      </c>
      <c r="O99">
        <f t="shared" si="11"/>
        <v>108.19672131147541</v>
      </c>
    </row>
    <row r="100" spans="1:15" ht="15.5" customHeight="1">
      <c r="A100" s="14">
        <v>1617173</v>
      </c>
      <c r="B100" s="15" t="s">
        <v>16</v>
      </c>
      <c r="C100" s="15" t="s">
        <v>38</v>
      </c>
      <c r="D100" s="15" t="s">
        <v>39</v>
      </c>
      <c r="E100" s="14" t="s">
        <v>23</v>
      </c>
      <c r="F100" s="14">
        <v>355</v>
      </c>
      <c r="G100" s="15" t="s">
        <v>30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8"/>
        <v>C</v>
      </c>
      <c r="M100" s="1" t="str">
        <f t="shared" si="9"/>
        <v>+</v>
      </c>
      <c r="N100" t="str">
        <f t="shared" si="10"/>
        <v>James Ready 5.5 15C +$0.5 to $26.49</v>
      </c>
      <c r="O100">
        <f t="shared" si="11"/>
        <v>101.92381685263562</v>
      </c>
    </row>
    <row r="101" spans="1:15" ht="15.5" customHeight="1">
      <c r="A101" s="14">
        <v>1631173</v>
      </c>
      <c r="B101" s="15" t="s">
        <v>16</v>
      </c>
      <c r="C101" s="15" t="s">
        <v>38</v>
      </c>
      <c r="D101" s="15" t="s">
        <v>110</v>
      </c>
      <c r="E101" s="14" t="s">
        <v>23</v>
      </c>
      <c r="F101" s="14">
        <v>355</v>
      </c>
      <c r="G101" s="15" t="s">
        <v>30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8"/>
        <v>C</v>
      </c>
      <c r="M101" s="1" t="str">
        <f t="shared" si="9"/>
        <v>+</v>
      </c>
      <c r="N101" t="str">
        <f t="shared" si="10"/>
        <v>James Ready 6.0 15C +$0.5 to $26.49</v>
      </c>
      <c r="O101">
        <f t="shared" si="11"/>
        <v>101.92381685263562</v>
      </c>
    </row>
    <row r="102" spans="1:15" ht="15.5" customHeight="1">
      <c r="A102" s="14">
        <v>1065002</v>
      </c>
      <c r="B102" s="15" t="s">
        <v>16</v>
      </c>
      <c r="C102" s="15" t="s">
        <v>17</v>
      </c>
      <c r="D102" s="15" t="s">
        <v>18</v>
      </c>
      <c r="E102" s="14" t="s">
        <v>19</v>
      </c>
      <c r="F102" s="14">
        <v>341</v>
      </c>
      <c r="G102" s="15" t="s">
        <v>20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8"/>
        <v>B</v>
      </c>
      <c r="M102" s="1" t="str">
        <f t="shared" si="9"/>
        <v>+</v>
      </c>
      <c r="N102" t="str">
        <f t="shared" si="10"/>
        <v>Steam Whistle 12B +$0.5 to $28.49</v>
      </c>
      <c r="O102">
        <f t="shared" si="11"/>
        <v>101.78635226866739</v>
      </c>
    </row>
    <row r="103" spans="1:15" ht="15.5" customHeight="1">
      <c r="A103" s="14">
        <v>1709306</v>
      </c>
      <c r="B103" s="15" t="s">
        <v>16</v>
      </c>
      <c r="C103" s="15" t="s">
        <v>28</v>
      </c>
      <c r="D103" s="15" t="s">
        <v>111</v>
      </c>
      <c r="E103" s="14" t="s">
        <v>23</v>
      </c>
      <c r="F103" s="14">
        <v>473</v>
      </c>
      <c r="G103" s="15" t="s">
        <v>52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8"/>
        <v>TC</v>
      </c>
      <c r="M103" s="1" t="str">
        <f t="shared" si="9"/>
        <v>+</v>
      </c>
      <c r="N103" t="str">
        <f t="shared" si="10"/>
        <v>Beau'S Lug Tread 6TC +$0.7 to $18.29</v>
      </c>
      <c r="O103">
        <f t="shared" si="11"/>
        <v>103.97953382603751</v>
      </c>
    </row>
    <row r="104" spans="1:15" ht="15.5" customHeight="1">
      <c r="A104" s="14">
        <v>1065306</v>
      </c>
      <c r="B104" s="15" t="s">
        <v>16</v>
      </c>
      <c r="C104" s="15" t="s">
        <v>17</v>
      </c>
      <c r="D104" s="15" t="s">
        <v>18</v>
      </c>
      <c r="E104" s="14" t="s">
        <v>23</v>
      </c>
      <c r="F104" s="14">
        <v>473</v>
      </c>
      <c r="G104" s="15" t="s">
        <v>52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8"/>
        <v>TC</v>
      </c>
      <c r="M104" s="1" t="str">
        <f t="shared" si="9"/>
        <v>+</v>
      </c>
      <c r="N104" t="str">
        <f t="shared" si="10"/>
        <v>Steam Whistle 6TC +$0.7 to $18.29</v>
      </c>
      <c r="O104">
        <f t="shared" si="11"/>
        <v>103.97953382603751</v>
      </c>
    </row>
    <row r="105" spans="1:15" ht="15.5" customHeight="1">
      <c r="A105" s="14">
        <v>1208130</v>
      </c>
      <c r="B105" s="15" t="s">
        <v>16</v>
      </c>
      <c r="C105" s="15" t="s">
        <v>112</v>
      </c>
      <c r="D105" s="15" t="s">
        <v>113</v>
      </c>
      <c r="E105" s="14" t="s">
        <v>23</v>
      </c>
      <c r="F105" s="14">
        <v>500</v>
      </c>
      <c r="G105" s="15" t="s">
        <v>24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12">IF(F105&gt;355,"TC",LEFT(E105,1))</f>
        <v>TC</v>
      </c>
      <c r="M105" s="1" t="str">
        <f t="shared" ref="M105:M136" si="13">IF(K105&gt;0,"+","-")</f>
        <v>+</v>
      </c>
      <c r="N105" t="str">
        <f t="shared" ref="N105:N136" si="14">PROPER($D105)&amp;" "&amp;$H105&amp;$L105&amp;" "&amp;$M105&amp;"$"&amp;ABS($K105)&amp;" to $"&amp;$J105</f>
        <v>Czechvar 24TC +$0.89 to $54.47</v>
      </c>
      <c r="O105">
        <f t="shared" ref="O105:O136" si="15">(J105/I105)*100</f>
        <v>101.66106756252333</v>
      </c>
    </row>
    <row r="106" spans="1:15" ht="15.5" customHeight="1">
      <c r="A106" s="14">
        <v>1617172</v>
      </c>
      <c r="B106" s="15" t="s">
        <v>16</v>
      </c>
      <c r="C106" s="15" t="s">
        <v>38</v>
      </c>
      <c r="D106" s="15" t="s">
        <v>39</v>
      </c>
      <c r="E106" s="14" t="s">
        <v>23</v>
      </c>
      <c r="F106" s="14">
        <v>355</v>
      </c>
      <c r="G106" s="15" t="s">
        <v>30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12"/>
        <v>C</v>
      </c>
      <c r="M106" s="1" t="str">
        <f t="shared" si="13"/>
        <v>+</v>
      </c>
      <c r="N106" t="str">
        <f t="shared" si="14"/>
        <v>James Ready 5.5 30C +$1 to $44.49</v>
      </c>
      <c r="O106">
        <f t="shared" si="15"/>
        <v>102.29937916762475</v>
      </c>
    </row>
    <row r="107" spans="1:15" ht="15.5" customHeight="1">
      <c r="A107" s="14">
        <v>3878038</v>
      </c>
      <c r="B107" s="15" t="s">
        <v>16</v>
      </c>
      <c r="C107" s="15" t="s">
        <v>31</v>
      </c>
      <c r="D107" s="15" t="s">
        <v>114</v>
      </c>
      <c r="E107" s="14" t="s">
        <v>23</v>
      </c>
      <c r="F107" s="14">
        <v>473</v>
      </c>
      <c r="G107" s="15" t="s">
        <v>52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12"/>
        <v>TC</v>
      </c>
      <c r="M107" s="1" t="str">
        <f t="shared" si="13"/>
        <v>+</v>
      </c>
      <c r="N107" t="str">
        <f t="shared" si="14"/>
        <v>Muskoka Survival Mix 6TC +$1 to $18.89</v>
      </c>
      <c r="O107">
        <f t="shared" si="15"/>
        <v>105.58971492453885</v>
      </c>
    </row>
    <row r="108" spans="1:15" ht="15.5" customHeight="1">
      <c r="A108" s="14">
        <v>3718038</v>
      </c>
      <c r="B108" s="15" t="s">
        <v>16</v>
      </c>
      <c r="C108" s="15" t="s">
        <v>31</v>
      </c>
      <c r="D108" s="15" t="s">
        <v>115</v>
      </c>
      <c r="E108" s="14" t="s">
        <v>23</v>
      </c>
      <c r="F108" s="14">
        <v>473</v>
      </c>
      <c r="G108" s="15" t="s">
        <v>52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12"/>
        <v>TC</v>
      </c>
      <c r="M108" s="1" t="str">
        <f t="shared" si="13"/>
        <v>+</v>
      </c>
      <c r="N108" t="str">
        <f t="shared" si="14"/>
        <v>Muskoka Survl Mix 24 6TC +$1 to $18.89</v>
      </c>
      <c r="O108">
        <f t="shared" si="15"/>
        <v>105.58971492453885</v>
      </c>
    </row>
    <row r="109" spans="1:15" ht="15.5" customHeight="1">
      <c r="A109" s="14">
        <v>2662128</v>
      </c>
      <c r="B109" s="15" t="s">
        <v>16</v>
      </c>
      <c r="C109" s="15" t="s">
        <v>98</v>
      </c>
      <c r="D109" s="15" t="s">
        <v>99</v>
      </c>
      <c r="E109" s="14" t="s">
        <v>23</v>
      </c>
      <c r="F109" s="14">
        <v>500</v>
      </c>
      <c r="G109" s="15" t="s">
        <v>24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12"/>
        <v>TC</v>
      </c>
      <c r="M109" s="1" t="str">
        <f t="shared" si="13"/>
        <v>+</v>
      </c>
      <c r="N109" t="str">
        <f t="shared" si="14"/>
        <v>Paulaner Hell Munch 4TC +$1 to $9.56</v>
      </c>
      <c r="O109">
        <f t="shared" si="15"/>
        <v>111.68224299065422</v>
      </c>
    </row>
    <row r="110" spans="1:15" ht="15.5" customHeight="1">
      <c r="A110" s="14">
        <v>3261128</v>
      </c>
      <c r="B110" s="15" t="s">
        <v>16</v>
      </c>
      <c r="C110" s="15" t="s">
        <v>98</v>
      </c>
      <c r="D110" s="15" t="s">
        <v>116</v>
      </c>
      <c r="E110" s="14" t="s">
        <v>23</v>
      </c>
      <c r="F110" s="14">
        <v>500</v>
      </c>
      <c r="G110" s="15" t="s">
        <v>24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12"/>
        <v>TC</v>
      </c>
      <c r="M110" s="1" t="str">
        <f t="shared" si="13"/>
        <v>+</v>
      </c>
      <c r="N110" t="str">
        <f t="shared" si="14"/>
        <v>Paulaner Pils 4TC +$1 to $10.49</v>
      </c>
      <c r="O110">
        <f t="shared" si="15"/>
        <v>110.53740779768178</v>
      </c>
    </row>
    <row r="111" spans="1:15" ht="15.5" customHeight="1">
      <c r="A111" s="14">
        <v>1161128</v>
      </c>
      <c r="B111" s="15" t="s">
        <v>16</v>
      </c>
      <c r="C111" s="15" t="s">
        <v>98</v>
      </c>
      <c r="D111" s="15" t="s">
        <v>100</v>
      </c>
      <c r="E111" s="14" t="s">
        <v>23</v>
      </c>
      <c r="F111" s="14">
        <v>500</v>
      </c>
      <c r="G111" s="15" t="s">
        <v>24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12"/>
        <v>TC</v>
      </c>
      <c r="M111" s="1" t="str">
        <f t="shared" si="13"/>
        <v>+</v>
      </c>
      <c r="N111" t="str">
        <f t="shared" si="14"/>
        <v>Paulaner Weissbier 4TC +$1 to $11.68</v>
      </c>
      <c r="O111">
        <f t="shared" si="15"/>
        <v>109.36329588014982</v>
      </c>
    </row>
    <row r="112" spans="1:15" ht="15.5" customHeight="1">
      <c r="A112" s="14">
        <v>1497038</v>
      </c>
      <c r="B112" s="15" t="s">
        <v>16</v>
      </c>
      <c r="C112" s="15" t="s">
        <v>25</v>
      </c>
      <c r="D112" s="15" t="s">
        <v>117</v>
      </c>
      <c r="E112" s="14" t="s">
        <v>23</v>
      </c>
      <c r="F112" s="14">
        <v>473</v>
      </c>
      <c r="G112" s="15" t="s">
        <v>52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12"/>
        <v>TC</v>
      </c>
      <c r="M112" s="1" t="str">
        <f t="shared" si="13"/>
        <v>+</v>
      </c>
      <c r="N112" t="str">
        <f t="shared" si="14"/>
        <v>Pbr Light 6TC +$1 to $11.99</v>
      </c>
      <c r="O112">
        <f t="shared" si="15"/>
        <v>109.09918107370338</v>
      </c>
    </row>
    <row r="113" spans="1:15" ht="15.5" customHeight="1">
      <c r="A113" s="14">
        <v>3849030</v>
      </c>
      <c r="B113" s="15" t="s">
        <v>16</v>
      </c>
      <c r="C113" s="15" t="s">
        <v>25</v>
      </c>
      <c r="D113" s="15" t="s">
        <v>118</v>
      </c>
      <c r="E113" s="14" t="s">
        <v>23</v>
      </c>
      <c r="F113" s="14">
        <v>355</v>
      </c>
      <c r="G113" s="15" t="s">
        <v>30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12"/>
        <v>C</v>
      </c>
      <c r="M113" s="1" t="str">
        <f t="shared" si="13"/>
        <v>+</v>
      </c>
      <c r="N113" t="str">
        <f t="shared" si="14"/>
        <v>Sapporo 0.0% 6C +$1 to $12.29</v>
      </c>
      <c r="O113">
        <f t="shared" si="15"/>
        <v>108.85739592559787</v>
      </c>
    </row>
    <row r="114" spans="1:15" ht="15.5" customHeight="1">
      <c r="A114" s="14">
        <v>1065033</v>
      </c>
      <c r="B114" s="15" t="s">
        <v>33</v>
      </c>
      <c r="C114" s="15" t="s">
        <v>17</v>
      </c>
      <c r="D114" s="15" t="s">
        <v>18</v>
      </c>
      <c r="E114" s="14" t="s">
        <v>23</v>
      </c>
      <c r="F114" s="14">
        <v>355</v>
      </c>
      <c r="G114" s="15" t="s">
        <v>30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12"/>
        <v>C</v>
      </c>
      <c r="M114" s="1" t="str">
        <f t="shared" si="13"/>
        <v>+</v>
      </c>
      <c r="N114" t="str">
        <f t="shared" si="14"/>
        <v>Steam Whistle 24C +$1 to $51.99</v>
      </c>
      <c r="O114">
        <f t="shared" si="15"/>
        <v>101.96116885663855</v>
      </c>
    </row>
    <row r="115" spans="1:15" ht="15.5" customHeight="1">
      <c r="A115" s="14">
        <v>1167128</v>
      </c>
      <c r="B115" s="15" t="s">
        <v>16</v>
      </c>
      <c r="C115" s="15" t="s">
        <v>119</v>
      </c>
      <c r="D115" s="15" t="s">
        <v>120</v>
      </c>
      <c r="E115" s="14" t="s">
        <v>23</v>
      </c>
      <c r="F115" s="14">
        <v>500</v>
      </c>
      <c r="G115" s="15" t="s">
        <v>24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12"/>
        <v>TC</v>
      </c>
      <c r="M115" s="1" t="str">
        <f t="shared" si="13"/>
        <v>+</v>
      </c>
      <c r="N115" t="str">
        <f t="shared" si="14"/>
        <v>Bavaria 8.6 4TC +$1 to $12.39</v>
      </c>
      <c r="O115">
        <f t="shared" si="15"/>
        <v>108.77963125548726</v>
      </c>
    </row>
    <row r="116" spans="1:15" ht="15.5" customHeight="1">
      <c r="A116" s="14">
        <v>1497041</v>
      </c>
      <c r="B116" s="15" t="s">
        <v>16</v>
      </c>
      <c r="C116" s="15" t="s">
        <v>25</v>
      </c>
      <c r="D116" s="15" t="s">
        <v>117</v>
      </c>
      <c r="E116" s="14" t="s">
        <v>23</v>
      </c>
      <c r="F116" s="14">
        <v>473</v>
      </c>
      <c r="G116" s="15" t="s">
        <v>52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12"/>
        <v>TC</v>
      </c>
      <c r="M116" s="1" t="str">
        <f t="shared" si="13"/>
        <v>+</v>
      </c>
      <c r="N116" t="str">
        <f t="shared" si="14"/>
        <v>Pbr Light 24TC +$1.03 to $44.99</v>
      </c>
      <c r="O116">
        <f t="shared" si="15"/>
        <v>102.34303912647862</v>
      </c>
    </row>
    <row r="117" spans="1:15" ht="15.5" customHeight="1">
      <c r="A117" s="14">
        <v>1060041</v>
      </c>
      <c r="B117" s="15" t="s">
        <v>16</v>
      </c>
      <c r="C117" s="15" t="s">
        <v>42</v>
      </c>
      <c r="D117" s="15" t="s">
        <v>56</v>
      </c>
      <c r="E117" s="14" t="s">
        <v>23</v>
      </c>
      <c r="F117" s="14">
        <v>473</v>
      </c>
      <c r="G117" s="15" t="s">
        <v>52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12"/>
        <v>TC</v>
      </c>
      <c r="M117" s="1" t="str">
        <f t="shared" si="13"/>
        <v>+</v>
      </c>
      <c r="N117" t="str">
        <f t="shared" si="14"/>
        <v>Coors Light 24TC +$1.1 to $52.99</v>
      </c>
      <c r="O117">
        <f t="shared" si="15"/>
        <v>102.11986895355561</v>
      </c>
    </row>
    <row r="118" spans="1:15" ht="15.5" customHeight="1">
      <c r="A118" s="14">
        <v>1595038</v>
      </c>
      <c r="B118" s="15" t="s">
        <v>16</v>
      </c>
      <c r="C118" s="15" t="s">
        <v>31</v>
      </c>
      <c r="D118" s="15" t="s">
        <v>81</v>
      </c>
      <c r="E118" s="14" t="s">
        <v>23</v>
      </c>
      <c r="F118" s="14">
        <v>473</v>
      </c>
      <c r="G118" s="15" t="s">
        <v>52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12"/>
        <v>TC</v>
      </c>
      <c r="M118" s="1" t="str">
        <f t="shared" si="13"/>
        <v>+</v>
      </c>
      <c r="N118" t="str">
        <f t="shared" si="14"/>
        <v>Mad Tom Ipa 6TC +$1.25 to $19.39</v>
      </c>
      <c r="O118">
        <f t="shared" si="15"/>
        <v>106.89084895259096</v>
      </c>
    </row>
    <row r="119" spans="1:15" ht="15.5" customHeight="1">
      <c r="A119" s="14">
        <v>1416038</v>
      </c>
      <c r="B119" s="15" t="s">
        <v>16</v>
      </c>
      <c r="C119" s="15" t="s">
        <v>121</v>
      </c>
      <c r="D119" s="15" t="s">
        <v>122</v>
      </c>
      <c r="E119" s="14" t="s">
        <v>23</v>
      </c>
      <c r="F119" s="14">
        <v>473</v>
      </c>
      <c r="G119" s="15" t="s">
        <v>52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12"/>
        <v>TC</v>
      </c>
      <c r="M119" s="1" t="str">
        <f t="shared" si="13"/>
        <v>+</v>
      </c>
      <c r="N119" t="str">
        <f t="shared" si="14"/>
        <v>Landshark Lager 6TC +$1.35 to $14.84</v>
      </c>
      <c r="O119">
        <f t="shared" si="15"/>
        <v>110.00741289844329</v>
      </c>
    </row>
    <row r="120" spans="1:15" ht="15.5" customHeight="1">
      <c r="A120" s="14">
        <v>1425038</v>
      </c>
      <c r="B120" s="15" t="s">
        <v>16</v>
      </c>
      <c r="C120" s="15" t="s">
        <v>121</v>
      </c>
      <c r="D120" s="15" t="s">
        <v>123</v>
      </c>
      <c r="E120" s="14" t="s">
        <v>23</v>
      </c>
      <c r="F120" s="14">
        <v>473</v>
      </c>
      <c r="G120" s="15" t="s">
        <v>52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12"/>
        <v>TC</v>
      </c>
      <c r="M120" s="1" t="str">
        <f t="shared" si="13"/>
        <v>+</v>
      </c>
      <c r="N120" t="str">
        <f t="shared" si="14"/>
        <v>Laker Light 6TC +$1.4 to $11.39</v>
      </c>
      <c r="O120">
        <f t="shared" si="15"/>
        <v>114.01401401401401</v>
      </c>
    </row>
    <row r="121" spans="1:15" ht="15.5" customHeight="1">
      <c r="A121" s="14">
        <v>1035042</v>
      </c>
      <c r="B121" s="15" t="s">
        <v>16</v>
      </c>
      <c r="C121" s="15" t="s">
        <v>40</v>
      </c>
      <c r="D121" s="15" t="s">
        <v>41</v>
      </c>
      <c r="E121" s="14" t="s">
        <v>23</v>
      </c>
      <c r="F121" s="14">
        <v>473</v>
      </c>
      <c r="G121" s="15" t="s">
        <v>52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12"/>
        <v>TC</v>
      </c>
      <c r="M121" s="1" t="str">
        <f t="shared" si="13"/>
        <v>+</v>
      </c>
      <c r="N121" t="str">
        <f t="shared" si="14"/>
        <v>Budweiser 12TC +$1.5 to $27.99</v>
      </c>
      <c r="O121">
        <f t="shared" si="15"/>
        <v>105.66251415628538</v>
      </c>
    </row>
    <row r="122" spans="1:15" ht="15.5" customHeight="1">
      <c r="A122" s="14">
        <v>2597354</v>
      </c>
      <c r="B122" s="15" t="s">
        <v>16</v>
      </c>
      <c r="C122" s="15" t="s">
        <v>40</v>
      </c>
      <c r="D122" s="15" t="s">
        <v>92</v>
      </c>
      <c r="E122" s="14" t="s">
        <v>19</v>
      </c>
      <c r="F122" s="14">
        <v>330</v>
      </c>
      <c r="G122" s="15" t="s">
        <v>36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12"/>
        <v>B</v>
      </c>
      <c r="M122" s="1" t="str">
        <f t="shared" si="13"/>
        <v>+</v>
      </c>
      <c r="N122" t="str">
        <f t="shared" si="14"/>
        <v>Corona 12B +$1.5 to $28.19</v>
      </c>
      <c r="O122">
        <f t="shared" si="15"/>
        <v>105.62008242787562</v>
      </c>
    </row>
    <row r="123" spans="1:15" ht="15.5" customHeight="1">
      <c r="A123" s="14">
        <v>1497042</v>
      </c>
      <c r="B123" s="15" t="s">
        <v>16</v>
      </c>
      <c r="C123" s="15" t="s">
        <v>25</v>
      </c>
      <c r="D123" s="15" t="s">
        <v>117</v>
      </c>
      <c r="E123" s="14" t="s">
        <v>23</v>
      </c>
      <c r="F123" s="14">
        <v>473</v>
      </c>
      <c r="G123" s="15" t="s">
        <v>52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12"/>
        <v>TC</v>
      </c>
      <c r="M123" s="1" t="str">
        <f t="shared" si="13"/>
        <v>+</v>
      </c>
      <c r="N123" t="str">
        <f t="shared" si="14"/>
        <v>Pbr Light 12TC +$1.51 to $23.49</v>
      </c>
      <c r="O123">
        <f t="shared" si="15"/>
        <v>106.86988171064604</v>
      </c>
    </row>
    <row r="124" spans="1:15" ht="15.5" customHeight="1">
      <c r="A124" s="14">
        <v>3879156</v>
      </c>
      <c r="B124" s="15" t="s">
        <v>16</v>
      </c>
      <c r="C124" s="15" t="s">
        <v>50</v>
      </c>
      <c r="D124" s="15" t="s">
        <v>51</v>
      </c>
      <c r="E124" s="14" t="s">
        <v>23</v>
      </c>
      <c r="F124" s="14">
        <v>473</v>
      </c>
      <c r="G124" s="15" t="s">
        <v>52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12"/>
        <v>TC</v>
      </c>
      <c r="M124" s="1" t="str">
        <f t="shared" si="13"/>
        <v>+</v>
      </c>
      <c r="N124" t="str">
        <f t="shared" si="14"/>
        <v>Gone Fishin Light 8TC +$2 to $20.99</v>
      </c>
      <c r="O124">
        <f t="shared" si="15"/>
        <v>110.5318588730911</v>
      </c>
    </row>
    <row r="125" spans="1:15" ht="15.5" customHeight="1">
      <c r="A125" s="14">
        <v>3154156</v>
      </c>
      <c r="B125" s="15" t="s">
        <v>16</v>
      </c>
      <c r="C125" s="15" t="s">
        <v>50</v>
      </c>
      <c r="D125" s="15" t="s">
        <v>53</v>
      </c>
      <c r="E125" s="14" t="s">
        <v>23</v>
      </c>
      <c r="F125" s="14">
        <v>473</v>
      </c>
      <c r="G125" s="15" t="s">
        <v>52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12"/>
        <v>TC</v>
      </c>
      <c r="M125" s="1" t="str">
        <f t="shared" si="13"/>
        <v>+</v>
      </c>
      <c r="N125" t="str">
        <f t="shared" si="14"/>
        <v>Longhorn Lager 8TC +$2 to $21.99</v>
      </c>
      <c r="O125">
        <f t="shared" si="15"/>
        <v>110.00500250125063</v>
      </c>
    </row>
    <row r="126" spans="1:15" ht="15.5" customHeight="1">
      <c r="A126" s="14">
        <v>3715156</v>
      </c>
      <c r="B126" s="15" t="s">
        <v>16</v>
      </c>
      <c r="C126" s="15" t="s">
        <v>50</v>
      </c>
      <c r="D126" s="15" t="s">
        <v>54</v>
      </c>
      <c r="E126" s="14" t="s">
        <v>23</v>
      </c>
      <c r="F126" s="14">
        <v>473</v>
      </c>
      <c r="G126" s="15" t="s">
        <v>52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12"/>
        <v>TC</v>
      </c>
      <c r="M126" s="1" t="str">
        <f t="shared" si="13"/>
        <v>+</v>
      </c>
      <c r="N126" t="str">
        <f t="shared" si="14"/>
        <v>Rough Stock Ipa 8TC +$2 to $23.99</v>
      </c>
      <c r="O126">
        <f t="shared" si="15"/>
        <v>109.0950432014552</v>
      </c>
    </row>
    <row r="127" spans="1:15" ht="15.5" customHeight="1">
      <c r="A127" s="14">
        <v>3916042</v>
      </c>
      <c r="B127" s="15" t="s">
        <v>16</v>
      </c>
      <c r="C127" s="15" t="s">
        <v>40</v>
      </c>
      <c r="D127" s="15" t="s">
        <v>124</v>
      </c>
      <c r="E127" s="14" t="s">
        <v>23</v>
      </c>
      <c r="F127" s="14">
        <v>473</v>
      </c>
      <c r="G127" s="15" t="s">
        <v>52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12"/>
        <v>TC</v>
      </c>
      <c r="M127" s="1" t="str">
        <f t="shared" si="13"/>
        <v>+</v>
      </c>
      <c r="N127" t="str">
        <f t="shared" si="14"/>
        <v>Bud Light Lemon Lime 12TC +$2 to $29.99</v>
      </c>
      <c r="O127">
        <f t="shared" si="15"/>
        <v>107.14540907466952</v>
      </c>
    </row>
    <row r="128" spans="1:15" ht="15.5" customHeight="1">
      <c r="A128" s="14">
        <v>3919031</v>
      </c>
      <c r="B128" s="15" t="s">
        <v>16</v>
      </c>
      <c r="C128" s="15" t="s">
        <v>40</v>
      </c>
      <c r="D128" s="15" t="s">
        <v>125</v>
      </c>
      <c r="E128" s="14" t="s">
        <v>23</v>
      </c>
      <c r="F128" s="14">
        <v>355</v>
      </c>
      <c r="G128" s="15" t="s">
        <v>30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12"/>
        <v>C</v>
      </c>
      <c r="M128" s="1" t="str">
        <f t="shared" si="13"/>
        <v>+</v>
      </c>
      <c r="N128" t="str">
        <f t="shared" si="14"/>
        <v>Bud Light Lime Time 12C +$2 to $25.49</v>
      </c>
      <c r="O128">
        <f t="shared" si="15"/>
        <v>108.5142613878246</v>
      </c>
    </row>
    <row r="129" spans="1:15" ht="15.5" customHeight="1">
      <c r="A129" s="14">
        <v>3915042</v>
      </c>
      <c r="B129" s="15" t="s">
        <v>16</v>
      </c>
      <c r="C129" s="15" t="s">
        <v>40</v>
      </c>
      <c r="D129" s="15" t="s">
        <v>126</v>
      </c>
      <c r="E129" s="14" t="s">
        <v>23</v>
      </c>
      <c r="F129" s="14">
        <v>473</v>
      </c>
      <c r="G129" s="15" t="s">
        <v>52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12"/>
        <v>TC</v>
      </c>
      <c r="M129" s="1" t="str">
        <f t="shared" si="13"/>
        <v>+</v>
      </c>
      <c r="N129" t="str">
        <f t="shared" si="14"/>
        <v>Mikes Halfer Lem&amp;Lag 12TC +$2 to $30.79</v>
      </c>
      <c r="O129">
        <f t="shared" si="15"/>
        <v>106.9468565474123</v>
      </c>
    </row>
    <row r="130" spans="1:15" ht="15.5" customHeight="1">
      <c r="A130" s="14">
        <v>3168031</v>
      </c>
      <c r="B130" s="15" t="s">
        <v>16</v>
      </c>
      <c r="C130" s="15" t="s">
        <v>42</v>
      </c>
      <c r="D130" s="15" t="s">
        <v>127</v>
      </c>
      <c r="E130" s="14" t="s">
        <v>23</v>
      </c>
      <c r="F130" s="14">
        <v>355</v>
      </c>
      <c r="G130" s="15" t="s">
        <v>30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12"/>
        <v>C</v>
      </c>
      <c r="M130" s="1" t="str">
        <f t="shared" si="13"/>
        <v>+</v>
      </c>
      <c r="N130" t="str">
        <f t="shared" si="14"/>
        <v>Arizona Hard Variety 12C +$2 to $26.99</v>
      </c>
      <c r="O130">
        <f t="shared" si="15"/>
        <v>108.0032012805122</v>
      </c>
    </row>
    <row r="131" spans="1:15" ht="15.5" customHeight="1">
      <c r="A131" s="14">
        <v>1060042</v>
      </c>
      <c r="B131" s="15" t="s">
        <v>16</v>
      </c>
      <c r="C131" s="15" t="s">
        <v>42</v>
      </c>
      <c r="D131" s="15" t="s">
        <v>56</v>
      </c>
      <c r="E131" s="14" t="s">
        <v>23</v>
      </c>
      <c r="F131" s="14">
        <v>473</v>
      </c>
      <c r="G131" s="15" t="s">
        <v>52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12"/>
        <v>TC</v>
      </c>
      <c r="M131" s="1" t="str">
        <f t="shared" si="13"/>
        <v>+</v>
      </c>
      <c r="N131" t="str">
        <f t="shared" si="14"/>
        <v>Coors Light 12TC +$2 to $27.99</v>
      </c>
      <c r="O131">
        <f t="shared" si="15"/>
        <v>107.69526741054251</v>
      </c>
    </row>
    <row r="132" spans="1:15" ht="15.5" customHeight="1">
      <c r="A132" s="14">
        <v>2341042</v>
      </c>
      <c r="B132" s="15" t="s">
        <v>16</v>
      </c>
      <c r="C132" s="15" t="s">
        <v>42</v>
      </c>
      <c r="D132" s="15" t="s">
        <v>49</v>
      </c>
      <c r="E132" s="14" t="s">
        <v>23</v>
      </c>
      <c r="F132" s="14">
        <v>473</v>
      </c>
      <c r="G132" s="15" t="s">
        <v>52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12"/>
        <v>TC</v>
      </c>
      <c r="M132" s="1" t="str">
        <f t="shared" si="13"/>
        <v>+</v>
      </c>
      <c r="N132" t="str">
        <f t="shared" si="14"/>
        <v>Coors Original 12TC +$2 to $28.99</v>
      </c>
      <c r="O132">
        <f t="shared" si="15"/>
        <v>107.41015190811412</v>
      </c>
    </row>
    <row r="133" spans="1:15" ht="15.5" customHeight="1">
      <c r="A133" s="14">
        <v>3867427</v>
      </c>
      <c r="B133" s="15" t="s">
        <v>16</v>
      </c>
      <c r="C133" s="15" t="s">
        <v>42</v>
      </c>
      <c r="D133" s="15" t="s">
        <v>128</v>
      </c>
      <c r="E133" s="14" t="s">
        <v>23</v>
      </c>
      <c r="F133" s="14">
        <v>355</v>
      </c>
      <c r="G133" s="15" t="s">
        <v>30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12"/>
        <v>C</v>
      </c>
      <c r="M133" s="1" t="str">
        <f t="shared" si="13"/>
        <v>+</v>
      </c>
      <c r="N133" t="str">
        <f t="shared" si="14"/>
        <v>Coors Selt Mixables 12C +$2 to $25.99</v>
      </c>
      <c r="O133">
        <f t="shared" si="15"/>
        <v>108.33680700291788</v>
      </c>
    </row>
    <row r="134" spans="1:15" ht="15.5" customHeight="1">
      <c r="A134" s="14">
        <v>1465042</v>
      </c>
      <c r="B134" s="15" t="s">
        <v>16</v>
      </c>
      <c r="C134" s="15" t="s">
        <v>42</v>
      </c>
      <c r="D134" s="15" t="s">
        <v>43</v>
      </c>
      <c r="E134" s="14" t="s">
        <v>23</v>
      </c>
      <c r="F134" s="14">
        <v>473</v>
      </c>
      <c r="G134" s="15" t="s">
        <v>52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12"/>
        <v>TC</v>
      </c>
      <c r="M134" s="1" t="str">
        <f t="shared" si="13"/>
        <v>+</v>
      </c>
      <c r="N134" t="str">
        <f t="shared" si="14"/>
        <v>Creemore Lager 12TC +$2 to $33.99</v>
      </c>
      <c r="O134">
        <f t="shared" si="15"/>
        <v>106.25195373554237</v>
      </c>
    </row>
    <row r="135" spans="1:15" ht="15.5" customHeight="1">
      <c r="A135" s="14">
        <v>3870427</v>
      </c>
      <c r="B135" s="15" t="s">
        <v>16</v>
      </c>
      <c r="C135" s="15" t="s">
        <v>42</v>
      </c>
      <c r="D135" s="15" t="s">
        <v>129</v>
      </c>
      <c r="E135" s="14" t="s">
        <v>23</v>
      </c>
      <c r="F135" s="14">
        <v>355</v>
      </c>
      <c r="G135" s="15" t="s">
        <v>30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12"/>
        <v>C</v>
      </c>
      <c r="M135" s="1" t="str">
        <f t="shared" si="13"/>
        <v>+</v>
      </c>
      <c r="N135" t="str">
        <f t="shared" si="14"/>
        <v>Simply Limeade 12C +$2 to $26.99</v>
      </c>
      <c r="O135">
        <f t="shared" si="15"/>
        <v>108.0032012805122</v>
      </c>
    </row>
    <row r="136" spans="1:15" ht="15.5" customHeight="1">
      <c r="A136" s="14">
        <v>3866427</v>
      </c>
      <c r="B136" s="15" t="s">
        <v>16</v>
      </c>
      <c r="C136" s="15" t="s">
        <v>42</v>
      </c>
      <c r="D136" s="15" t="s">
        <v>130</v>
      </c>
      <c r="E136" s="14" t="s">
        <v>23</v>
      </c>
      <c r="F136" s="14">
        <v>355</v>
      </c>
      <c r="G136" s="15" t="s">
        <v>30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12"/>
        <v>C</v>
      </c>
      <c r="M136" s="1" t="str">
        <f t="shared" si="13"/>
        <v>+</v>
      </c>
      <c r="N136" t="str">
        <f t="shared" si="14"/>
        <v>Vizzy Cream Pop Vp 12C +$2 to $26.99</v>
      </c>
      <c r="O136">
        <f t="shared" si="15"/>
        <v>108.0032012805122</v>
      </c>
    </row>
    <row r="137" spans="1:15" ht="15.5" customHeight="1">
      <c r="A137" s="14">
        <v>1628224</v>
      </c>
      <c r="B137" s="15" t="s">
        <v>16</v>
      </c>
      <c r="C137" s="15" t="s">
        <v>38</v>
      </c>
      <c r="D137" s="15" t="s">
        <v>72</v>
      </c>
      <c r="E137" s="14" t="s">
        <v>23</v>
      </c>
      <c r="F137" s="14">
        <v>355</v>
      </c>
      <c r="G137" s="15" t="s">
        <v>30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16">IF(F137&gt;355,"TC",LEFT(E137,1))</f>
        <v>C</v>
      </c>
      <c r="M137" s="1" t="str">
        <f t="shared" ref="M137:M168" si="17">IF(K137&gt;0,"+","-")</f>
        <v>+</v>
      </c>
      <c r="N137" t="str">
        <f t="shared" ref="N137:N168" si="18">PROPER($D137)&amp;" "&amp;$H137&amp;$L137&amp;" "&amp;$M137&amp;"$"&amp;ABS($K137)&amp;" to $"&amp;$J137</f>
        <v>Moosehead Lager 60C +$2 to $97.99</v>
      </c>
      <c r="O137">
        <f t="shared" ref="O137:O168" si="19">(J137/I137)*100</f>
        <v>102.08355036983019</v>
      </c>
    </row>
    <row r="138" spans="1:15" ht="15.5" customHeight="1">
      <c r="A138" s="14">
        <v>3839028</v>
      </c>
      <c r="B138" s="15" t="s">
        <v>33</v>
      </c>
      <c r="C138" s="15" t="s">
        <v>28</v>
      </c>
      <c r="D138" s="15" t="s">
        <v>131</v>
      </c>
      <c r="E138" s="14" t="s">
        <v>132</v>
      </c>
      <c r="F138" s="14">
        <v>30000</v>
      </c>
      <c r="G138" s="15" t="s">
        <v>133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16"/>
        <v>TC</v>
      </c>
      <c r="M138" s="1" t="str">
        <f t="shared" si="17"/>
        <v>+</v>
      </c>
      <c r="N138" t="str">
        <f t="shared" si="18"/>
        <v>Barnburner Amber Ale 1TC +$2.22 to $153.5</v>
      </c>
      <c r="O138">
        <f t="shared" si="19"/>
        <v>101.46747752511898</v>
      </c>
    </row>
    <row r="139" spans="1:15" ht="15.5" customHeight="1">
      <c r="A139" s="14">
        <v>3839028</v>
      </c>
      <c r="B139" s="15" t="s">
        <v>16</v>
      </c>
      <c r="C139" s="15" t="s">
        <v>28</v>
      </c>
      <c r="D139" s="15" t="s">
        <v>131</v>
      </c>
      <c r="E139" s="14" t="s">
        <v>132</v>
      </c>
      <c r="F139" s="14">
        <v>30000</v>
      </c>
      <c r="G139" s="15" t="s">
        <v>133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16"/>
        <v>TC</v>
      </c>
      <c r="M139" s="1" t="str">
        <f t="shared" si="17"/>
        <v>+</v>
      </c>
      <c r="N139" t="str">
        <f t="shared" si="18"/>
        <v>Barnburner Amber Ale 1TC +$2.22 to $153.5</v>
      </c>
      <c r="O139">
        <f t="shared" si="19"/>
        <v>101.46747752511898</v>
      </c>
    </row>
    <row r="140" spans="1:15" ht="15.5" customHeight="1">
      <c r="A140" s="14">
        <v>1879172</v>
      </c>
      <c r="B140" s="15" t="s">
        <v>16</v>
      </c>
      <c r="C140" s="15" t="s">
        <v>42</v>
      </c>
      <c r="D140" s="15" t="s">
        <v>57</v>
      </c>
      <c r="E140" s="14" t="s">
        <v>23</v>
      </c>
      <c r="F140" s="14">
        <v>355</v>
      </c>
      <c r="G140" s="15" t="s">
        <v>30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16"/>
        <v>C</v>
      </c>
      <c r="M140" s="1" t="str">
        <f t="shared" si="17"/>
        <v>+</v>
      </c>
      <c r="N140" t="str">
        <f t="shared" si="18"/>
        <v>Miller High Life 30C +$2.5 to $47.99</v>
      </c>
      <c r="O140">
        <f t="shared" si="19"/>
        <v>105.495713343592</v>
      </c>
    </row>
    <row r="141" spans="1:15" ht="15.5" customHeight="1">
      <c r="A141" s="14">
        <v>1879042</v>
      </c>
      <c r="B141" s="15" t="s">
        <v>16</v>
      </c>
      <c r="C141" s="15" t="s">
        <v>42</v>
      </c>
      <c r="D141" s="15" t="s">
        <v>57</v>
      </c>
      <c r="E141" s="14" t="s">
        <v>23</v>
      </c>
      <c r="F141" s="14">
        <v>473</v>
      </c>
      <c r="G141" s="15" t="s">
        <v>52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16"/>
        <v>TC</v>
      </c>
      <c r="M141" s="1" t="str">
        <f t="shared" si="17"/>
        <v>+</v>
      </c>
      <c r="N141" t="str">
        <f t="shared" si="18"/>
        <v>Miller High Life 12TC +$2.5 to $23.49</v>
      </c>
      <c r="O141">
        <f t="shared" si="19"/>
        <v>111.91043353978085</v>
      </c>
    </row>
    <row r="142" spans="1:15" ht="15.5" customHeight="1">
      <c r="A142" s="14">
        <v>3458038</v>
      </c>
      <c r="B142" s="15" t="s">
        <v>16</v>
      </c>
      <c r="C142" s="15" t="s">
        <v>108</v>
      </c>
      <c r="D142" s="15" t="s">
        <v>134</v>
      </c>
      <c r="E142" s="14" t="s">
        <v>23</v>
      </c>
      <c r="F142" s="14">
        <v>473</v>
      </c>
      <c r="G142" s="15" t="s">
        <v>52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16"/>
        <v>TC</v>
      </c>
      <c r="M142" s="1" t="str">
        <f t="shared" si="17"/>
        <v>+</v>
      </c>
      <c r="N142" t="str">
        <f t="shared" si="18"/>
        <v>Stockyards Lager Mix 6TC +$2.66 to $19.78</v>
      </c>
      <c r="O142">
        <f t="shared" si="19"/>
        <v>115.53738317757009</v>
      </c>
    </row>
    <row r="143" spans="1:15" ht="15.5" customHeight="1">
      <c r="A143" s="14">
        <v>1709041</v>
      </c>
      <c r="B143" s="15" t="s">
        <v>16</v>
      </c>
      <c r="C143" s="15" t="s">
        <v>28</v>
      </c>
      <c r="D143" s="15" t="s">
        <v>111</v>
      </c>
      <c r="E143" s="14" t="s">
        <v>23</v>
      </c>
      <c r="F143" s="14">
        <v>473</v>
      </c>
      <c r="G143" s="15" t="s">
        <v>52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16"/>
        <v>TC</v>
      </c>
      <c r="M143" s="1" t="str">
        <f t="shared" si="17"/>
        <v>+</v>
      </c>
      <c r="N143" t="str">
        <f t="shared" si="18"/>
        <v>Beau'S Lug Tread 24TC +$3 to $63.99</v>
      </c>
      <c r="O143">
        <f t="shared" si="19"/>
        <v>104.91883915395968</v>
      </c>
    </row>
    <row r="144" spans="1:15" ht="15.5" customHeight="1">
      <c r="A144" s="14">
        <v>2597033</v>
      </c>
      <c r="B144" s="15" t="s">
        <v>16</v>
      </c>
      <c r="C144" s="15" t="s">
        <v>40</v>
      </c>
      <c r="D144" s="15" t="s">
        <v>92</v>
      </c>
      <c r="E144" s="14" t="s">
        <v>23</v>
      </c>
      <c r="F144" s="14">
        <v>355</v>
      </c>
      <c r="G144" s="15" t="s">
        <v>30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16"/>
        <v>C</v>
      </c>
      <c r="M144" s="1" t="str">
        <f t="shared" si="17"/>
        <v>+</v>
      </c>
      <c r="N144" t="str">
        <f t="shared" si="18"/>
        <v>Corona 24C +$3 to $50.69</v>
      </c>
      <c r="O144">
        <f t="shared" si="19"/>
        <v>106.29062696582092</v>
      </c>
    </row>
    <row r="145" spans="1:15" ht="15.5" customHeight="1">
      <c r="A145" s="14">
        <v>1629041</v>
      </c>
      <c r="B145" s="15" t="s">
        <v>16</v>
      </c>
      <c r="C145" s="15" t="s">
        <v>38</v>
      </c>
      <c r="D145" s="15" t="s">
        <v>93</v>
      </c>
      <c r="E145" s="14" t="s">
        <v>23</v>
      </c>
      <c r="F145" s="14">
        <v>473</v>
      </c>
      <c r="G145" s="15" t="s">
        <v>52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16"/>
        <v>TC</v>
      </c>
      <c r="M145" s="1" t="str">
        <f t="shared" si="17"/>
        <v>+</v>
      </c>
      <c r="N145" t="str">
        <f t="shared" si="18"/>
        <v>Cracked Canoe 24TC +$3 to $52.99</v>
      </c>
      <c r="O145">
        <f t="shared" si="19"/>
        <v>106.00120024004799</v>
      </c>
    </row>
    <row r="146" spans="1:15" ht="15.5" customHeight="1">
      <c r="A146" s="14">
        <v>1628041</v>
      </c>
      <c r="B146" s="15" t="s">
        <v>16</v>
      </c>
      <c r="C146" s="15" t="s">
        <v>38</v>
      </c>
      <c r="D146" s="15" t="s">
        <v>72</v>
      </c>
      <c r="E146" s="14" t="s">
        <v>23</v>
      </c>
      <c r="F146" s="14">
        <v>473</v>
      </c>
      <c r="G146" s="15" t="s">
        <v>52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16"/>
        <v>TC</v>
      </c>
      <c r="M146" s="1" t="str">
        <f t="shared" si="17"/>
        <v>+</v>
      </c>
      <c r="N146" t="str">
        <f t="shared" si="18"/>
        <v>Moosehead Lager 24TC +$3 to $52.99</v>
      </c>
      <c r="O146">
        <f t="shared" si="19"/>
        <v>106.00120024004799</v>
      </c>
    </row>
    <row r="147" spans="1:15" ht="15.5" customHeight="1">
      <c r="A147" s="14">
        <v>1489033</v>
      </c>
      <c r="B147" s="15" t="s">
        <v>16</v>
      </c>
      <c r="C147" s="15" t="s">
        <v>25</v>
      </c>
      <c r="D147" s="15" t="s">
        <v>135</v>
      </c>
      <c r="E147" s="14" t="s">
        <v>23</v>
      </c>
      <c r="F147" s="14">
        <v>355</v>
      </c>
      <c r="G147" s="15" t="s">
        <v>30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16"/>
        <v>C</v>
      </c>
      <c r="M147" s="1" t="str">
        <f t="shared" si="17"/>
        <v>+</v>
      </c>
      <c r="N147" t="str">
        <f t="shared" si="18"/>
        <v>Sapporo 24C +$3 to $50.69</v>
      </c>
      <c r="O147">
        <f t="shared" si="19"/>
        <v>106.29062696582092</v>
      </c>
    </row>
    <row r="148" spans="1:15" ht="15.5" customHeight="1">
      <c r="A148" s="14">
        <v>1879041</v>
      </c>
      <c r="B148" s="15" t="s">
        <v>16</v>
      </c>
      <c r="C148" s="15" t="s">
        <v>42</v>
      </c>
      <c r="D148" s="15" t="s">
        <v>57</v>
      </c>
      <c r="E148" s="14" t="s">
        <v>23</v>
      </c>
      <c r="F148" s="14">
        <v>473</v>
      </c>
      <c r="G148" s="15" t="s">
        <v>52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16"/>
        <v>TC</v>
      </c>
      <c r="M148" s="1" t="str">
        <f t="shared" si="17"/>
        <v>+</v>
      </c>
      <c r="N148" t="str">
        <f t="shared" si="18"/>
        <v>Miller High Life 24TC +$3.1 to $44.99</v>
      </c>
      <c r="O148">
        <f t="shared" si="19"/>
        <v>107.40033420864168</v>
      </c>
    </row>
    <row r="149" spans="1:15" ht="15.5" customHeight="1">
      <c r="A149" s="14">
        <v>2109013</v>
      </c>
      <c r="B149" s="15" t="s">
        <v>16</v>
      </c>
      <c r="C149" s="15" t="s">
        <v>136</v>
      </c>
      <c r="D149" s="15" t="s">
        <v>137</v>
      </c>
      <c r="E149" s="14" t="s">
        <v>19</v>
      </c>
      <c r="F149" s="14">
        <v>330</v>
      </c>
      <c r="G149" s="15" t="s">
        <v>36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16"/>
        <v>B</v>
      </c>
      <c r="M149" s="1" t="str">
        <f t="shared" si="17"/>
        <v>+</v>
      </c>
      <c r="N149" t="str">
        <f t="shared" si="18"/>
        <v>Asahi Super Dry 24B +$4 to $49.29</v>
      </c>
      <c r="O149">
        <f t="shared" si="19"/>
        <v>108.83197173769044</v>
      </c>
    </row>
    <row r="150" spans="1:15" ht="15.5" customHeight="1">
      <c r="A150" s="14">
        <v>1709033</v>
      </c>
      <c r="B150" s="15" t="s">
        <v>16</v>
      </c>
      <c r="C150" s="15" t="s">
        <v>28</v>
      </c>
      <c r="D150" s="15" t="s">
        <v>111</v>
      </c>
      <c r="E150" s="14" t="s">
        <v>23</v>
      </c>
      <c r="F150" s="14">
        <v>355</v>
      </c>
      <c r="G150" s="15" t="s">
        <v>30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16"/>
        <v>C</v>
      </c>
      <c r="M150" s="1" t="str">
        <f t="shared" si="17"/>
        <v>+</v>
      </c>
      <c r="N150" t="str">
        <f t="shared" si="18"/>
        <v>Beau'S Lug Tread 24C +$4 to $49.99</v>
      </c>
      <c r="O150">
        <f t="shared" si="19"/>
        <v>108.69754294411828</v>
      </c>
    </row>
    <row r="151" spans="1:15" ht="15.5" customHeight="1">
      <c r="A151" s="14">
        <v>3915041</v>
      </c>
      <c r="B151" s="15" t="s">
        <v>16</v>
      </c>
      <c r="C151" s="15" t="s">
        <v>40</v>
      </c>
      <c r="D151" s="15" t="s">
        <v>126</v>
      </c>
      <c r="E151" s="14" t="s">
        <v>23</v>
      </c>
      <c r="F151" s="14">
        <v>473</v>
      </c>
      <c r="G151" s="15" t="s">
        <v>52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16"/>
        <v>TC</v>
      </c>
      <c r="M151" s="1" t="str">
        <f t="shared" si="17"/>
        <v>+</v>
      </c>
      <c r="N151" t="str">
        <f t="shared" si="18"/>
        <v>Mikes Halfer Lem&amp;Lag 24TC +$4 to $57.99</v>
      </c>
      <c r="O151">
        <f t="shared" si="19"/>
        <v>107.40877940359326</v>
      </c>
    </row>
    <row r="152" spans="1:15" ht="15.5" customHeight="1">
      <c r="A152" s="14">
        <v>1090005</v>
      </c>
      <c r="B152" s="15" t="s">
        <v>16</v>
      </c>
      <c r="C152" s="15" t="s">
        <v>40</v>
      </c>
      <c r="D152" s="15" t="s">
        <v>55</v>
      </c>
      <c r="E152" s="14" t="s">
        <v>19</v>
      </c>
      <c r="F152" s="14">
        <v>341</v>
      </c>
      <c r="G152" s="15" t="s">
        <v>20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16"/>
        <v>B</v>
      </c>
      <c r="M152" s="1" t="str">
        <f t="shared" si="17"/>
        <v>+</v>
      </c>
      <c r="N152" t="str">
        <f t="shared" si="18"/>
        <v>Mill St Organic Lag 24B +$4 to $48.49</v>
      </c>
      <c r="O152">
        <f t="shared" si="19"/>
        <v>108.99078444594291</v>
      </c>
    </row>
    <row r="153" spans="1:15" ht="15.5" customHeight="1">
      <c r="A153" s="14">
        <v>3667418</v>
      </c>
      <c r="B153" s="15" t="s">
        <v>16</v>
      </c>
      <c r="C153" s="15" t="s">
        <v>42</v>
      </c>
      <c r="D153" s="15" t="s">
        <v>138</v>
      </c>
      <c r="E153" s="14" t="s">
        <v>23</v>
      </c>
      <c r="F153" s="14">
        <v>355</v>
      </c>
      <c r="G153" s="15" t="s">
        <v>30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16"/>
        <v>C</v>
      </c>
      <c r="M153" s="1" t="str">
        <f t="shared" si="17"/>
        <v>+</v>
      </c>
      <c r="N153" t="str">
        <f t="shared" si="18"/>
        <v>Coors Selt Splash 24C +$4 to $47.99</v>
      </c>
      <c r="O153">
        <f t="shared" si="19"/>
        <v>109.09297567629007</v>
      </c>
    </row>
    <row r="154" spans="1:15" ht="15.5" customHeight="1">
      <c r="A154" s="14">
        <v>1632033</v>
      </c>
      <c r="B154" s="15" t="s">
        <v>16</v>
      </c>
      <c r="C154" s="15" t="s">
        <v>38</v>
      </c>
      <c r="D154" s="15" t="s">
        <v>101</v>
      </c>
      <c r="E154" s="14" t="s">
        <v>23</v>
      </c>
      <c r="F154" s="14">
        <v>355</v>
      </c>
      <c r="G154" s="15" t="s">
        <v>30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16"/>
        <v>C</v>
      </c>
      <c r="M154" s="1" t="str">
        <f t="shared" si="17"/>
        <v>+</v>
      </c>
      <c r="N154" t="str">
        <f t="shared" si="18"/>
        <v>Alpine Lager 24C +$4 to $44.99</v>
      </c>
      <c r="O154">
        <f t="shared" si="19"/>
        <v>109.7584776774823</v>
      </c>
    </row>
    <row r="155" spans="1:15" ht="15.5" customHeight="1">
      <c r="A155" s="14">
        <v>1629033</v>
      </c>
      <c r="B155" s="15" t="s">
        <v>16</v>
      </c>
      <c r="C155" s="15" t="s">
        <v>38</v>
      </c>
      <c r="D155" s="15" t="s">
        <v>93</v>
      </c>
      <c r="E155" s="14" t="s">
        <v>23</v>
      </c>
      <c r="F155" s="14">
        <v>355</v>
      </c>
      <c r="G155" s="15" t="s">
        <v>30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16"/>
        <v>C</v>
      </c>
      <c r="M155" s="1" t="str">
        <f t="shared" si="17"/>
        <v>+</v>
      </c>
      <c r="N155" t="str">
        <f t="shared" si="18"/>
        <v>Cracked Canoe 24C +$4 to $44.99</v>
      </c>
      <c r="O155">
        <f t="shared" si="19"/>
        <v>109.7584776774823</v>
      </c>
    </row>
    <row r="156" spans="1:15" ht="15.5" customHeight="1">
      <c r="A156" s="14">
        <v>1617041</v>
      </c>
      <c r="B156" s="15" t="s">
        <v>16</v>
      </c>
      <c r="C156" s="15" t="s">
        <v>38</v>
      </c>
      <c r="D156" s="15" t="s">
        <v>39</v>
      </c>
      <c r="E156" s="14" t="s">
        <v>23</v>
      </c>
      <c r="F156" s="14">
        <v>473</v>
      </c>
      <c r="G156" s="15" t="s">
        <v>52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16"/>
        <v>TC</v>
      </c>
      <c r="M156" s="1" t="str">
        <f t="shared" si="17"/>
        <v>+</v>
      </c>
      <c r="N156" t="str">
        <f t="shared" si="18"/>
        <v>James Ready 5.5 24TC +$4 to $44.99</v>
      </c>
      <c r="O156">
        <f t="shared" si="19"/>
        <v>109.7584776774823</v>
      </c>
    </row>
    <row r="157" spans="1:15" ht="15.5" customHeight="1">
      <c r="A157" s="14">
        <v>1628033</v>
      </c>
      <c r="B157" s="15" t="s">
        <v>16</v>
      </c>
      <c r="C157" s="15" t="s">
        <v>38</v>
      </c>
      <c r="D157" s="15" t="s">
        <v>72</v>
      </c>
      <c r="E157" s="14" t="s">
        <v>23</v>
      </c>
      <c r="F157" s="14">
        <v>355</v>
      </c>
      <c r="G157" s="15" t="s">
        <v>30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16"/>
        <v>C</v>
      </c>
      <c r="M157" s="1" t="str">
        <f t="shared" si="17"/>
        <v>+</v>
      </c>
      <c r="N157" t="str">
        <f t="shared" si="18"/>
        <v>Moosehead Lager 24C +$4 to $44.99</v>
      </c>
      <c r="O157">
        <f t="shared" si="19"/>
        <v>109.7584776774823</v>
      </c>
    </row>
    <row r="158" spans="1:15" ht="15.5" customHeight="1">
      <c r="A158" s="14">
        <v>1624033</v>
      </c>
      <c r="B158" s="15" t="s">
        <v>16</v>
      </c>
      <c r="C158" s="15" t="s">
        <v>38</v>
      </c>
      <c r="D158" s="15" t="s">
        <v>107</v>
      </c>
      <c r="E158" s="14" t="s">
        <v>23</v>
      </c>
      <c r="F158" s="14">
        <v>355</v>
      </c>
      <c r="G158" s="15" t="s">
        <v>30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16"/>
        <v>C</v>
      </c>
      <c r="M158" s="1" t="str">
        <f t="shared" si="17"/>
        <v>+</v>
      </c>
      <c r="N158" t="str">
        <f t="shared" si="18"/>
        <v>Moosehead Light 24C +$4 to $44.99</v>
      </c>
      <c r="O158">
        <f t="shared" si="19"/>
        <v>109.7584776774823</v>
      </c>
    </row>
    <row r="159" spans="1:15" ht="15.5" customHeight="1">
      <c r="A159" s="14">
        <v>1602033</v>
      </c>
      <c r="B159" s="15" t="s">
        <v>16</v>
      </c>
      <c r="C159" s="15" t="s">
        <v>31</v>
      </c>
      <c r="D159" s="15" t="s">
        <v>139</v>
      </c>
      <c r="E159" s="14" t="s">
        <v>23</v>
      </c>
      <c r="F159" s="14">
        <v>355</v>
      </c>
      <c r="G159" s="15" t="s">
        <v>30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16"/>
        <v>C</v>
      </c>
      <c r="M159" s="1" t="str">
        <f t="shared" si="17"/>
        <v>+</v>
      </c>
      <c r="N159" t="str">
        <f t="shared" si="18"/>
        <v>Muskoka Craft Lager 24C +$4 to $48.49</v>
      </c>
      <c r="O159">
        <f t="shared" si="19"/>
        <v>108.99078444594291</v>
      </c>
    </row>
    <row r="160" spans="1:15" ht="15.5" customHeight="1">
      <c r="A160" s="14">
        <v>2503033</v>
      </c>
      <c r="B160" s="15" t="s">
        <v>16</v>
      </c>
      <c r="C160" s="15" t="s">
        <v>31</v>
      </c>
      <c r="D160" s="15" t="s">
        <v>32</v>
      </c>
      <c r="E160" s="14" t="s">
        <v>23</v>
      </c>
      <c r="F160" s="14">
        <v>355</v>
      </c>
      <c r="G160" s="15" t="s">
        <v>30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16"/>
        <v>C</v>
      </c>
      <c r="M160" s="1" t="str">
        <f t="shared" si="17"/>
        <v>+</v>
      </c>
      <c r="N160" t="str">
        <f t="shared" si="18"/>
        <v>Muskoka Tread Light 24C +$4 to $43.99</v>
      </c>
      <c r="O160">
        <f t="shared" si="19"/>
        <v>110.00250062515629</v>
      </c>
    </row>
    <row r="161" spans="1:15" ht="15.5" customHeight="1">
      <c r="A161" s="14">
        <v>1585041</v>
      </c>
      <c r="B161" s="15" t="s">
        <v>33</v>
      </c>
      <c r="C161" s="15" t="s">
        <v>61</v>
      </c>
      <c r="D161" s="15" t="s">
        <v>140</v>
      </c>
      <c r="E161" s="14" t="s">
        <v>23</v>
      </c>
      <c r="F161" s="14">
        <v>473</v>
      </c>
      <c r="G161" s="15" t="s">
        <v>52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16"/>
        <v>TC</v>
      </c>
      <c r="M161" s="1" t="str">
        <f t="shared" si="17"/>
        <v>+</v>
      </c>
      <c r="N161" t="str">
        <f t="shared" si="18"/>
        <v>Naughty Neighbour 24TC +$4 to $65.88</v>
      </c>
      <c r="O161">
        <f t="shared" si="19"/>
        <v>106.46412411118294</v>
      </c>
    </row>
    <row r="162" spans="1:15" ht="15.5" customHeight="1">
      <c r="A162" s="14">
        <v>1585041</v>
      </c>
      <c r="B162" s="15" t="s">
        <v>16</v>
      </c>
      <c r="C162" s="15" t="s">
        <v>61</v>
      </c>
      <c r="D162" s="15" t="s">
        <v>140</v>
      </c>
      <c r="E162" s="14" t="s">
        <v>23</v>
      </c>
      <c r="F162" s="14">
        <v>473</v>
      </c>
      <c r="G162" s="15" t="s">
        <v>52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16"/>
        <v>TC</v>
      </c>
      <c r="M162" s="1" t="str">
        <f t="shared" si="17"/>
        <v>+</v>
      </c>
      <c r="N162" t="str">
        <f t="shared" si="18"/>
        <v>Naughty Neighbour 24TC +$4 to $65.88</v>
      </c>
      <c r="O162">
        <f t="shared" si="19"/>
        <v>106.46412411118294</v>
      </c>
    </row>
    <row r="163" spans="1:15" ht="15.5" customHeight="1">
      <c r="A163" s="14">
        <v>3703041</v>
      </c>
      <c r="B163" s="15" t="s">
        <v>33</v>
      </c>
      <c r="C163" s="15" t="s">
        <v>61</v>
      </c>
      <c r="D163" s="15" t="s">
        <v>141</v>
      </c>
      <c r="E163" s="14" t="s">
        <v>23</v>
      </c>
      <c r="F163" s="14">
        <v>473</v>
      </c>
      <c r="G163" s="15" t="s">
        <v>52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16"/>
        <v>TC</v>
      </c>
      <c r="M163" s="1" t="str">
        <f t="shared" si="17"/>
        <v>+</v>
      </c>
      <c r="N163" t="str">
        <f t="shared" si="18"/>
        <v>Nickel Brook Lager 24TC +$4 to $57</v>
      </c>
      <c r="O163">
        <f t="shared" si="19"/>
        <v>107.54716981132076</v>
      </c>
    </row>
    <row r="164" spans="1:15" ht="15.5" customHeight="1">
      <c r="A164" s="14">
        <v>3703041</v>
      </c>
      <c r="B164" s="15" t="s">
        <v>16</v>
      </c>
      <c r="C164" s="15" t="s">
        <v>61</v>
      </c>
      <c r="D164" s="15" t="s">
        <v>141</v>
      </c>
      <c r="E164" s="14" t="s">
        <v>23</v>
      </c>
      <c r="F164" s="14">
        <v>473</v>
      </c>
      <c r="G164" s="15" t="s">
        <v>52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16"/>
        <v>TC</v>
      </c>
      <c r="M164" s="1" t="str">
        <f t="shared" si="17"/>
        <v>+</v>
      </c>
      <c r="N164" t="str">
        <f t="shared" si="18"/>
        <v>Nickel Brook Lager 24TC +$4 to $57</v>
      </c>
      <c r="O164">
        <f t="shared" si="19"/>
        <v>107.54716981132076</v>
      </c>
    </row>
    <row r="165" spans="1:15" ht="15.5" customHeight="1">
      <c r="A165" s="14">
        <v>1065033</v>
      </c>
      <c r="B165" s="15" t="s">
        <v>16</v>
      </c>
      <c r="C165" s="15" t="s">
        <v>17</v>
      </c>
      <c r="D165" s="15" t="s">
        <v>18</v>
      </c>
      <c r="E165" s="14" t="s">
        <v>23</v>
      </c>
      <c r="F165" s="14">
        <v>355</v>
      </c>
      <c r="G165" s="15" t="s">
        <v>30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16"/>
        <v>C</v>
      </c>
      <c r="M165" s="1" t="str">
        <f t="shared" si="17"/>
        <v>+</v>
      </c>
      <c r="N165" t="str">
        <f t="shared" si="18"/>
        <v>Steam Whistle 24C +$4 to $49.99</v>
      </c>
      <c r="O165">
        <f t="shared" si="19"/>
        <v>108.69754294411828</v>
      </c>
    </row>
    <row r="166" spans="1:15" ht="15.5" customHeight="1">
      <c r="A166" s="14">
        <v>2341041</v>
      </c>
      <c r="B166" s="15" t="s">
        <v>16</v>
      </c>
      <c r="C166" s="15" t="s">
        <v>42</v>
      </c>
      <c r="D166" s="15" t="s">
        <v>49</v>
      </c>
      <c r="E166" s="14" t="s">
        <v>23</v>
      </c>
      <c r="F166" s="14">
        <v>473</v>
      </c>
      <c r="G166" s="15" t="s">
        <v>52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16"/>
        <v>TC</v>
      </c>
      <c r="M166" s="1" t="str">
        <f t="shared" si="17"/>
        <v>+</v>
      </c>
      <c r="N166" t="str">
        <f t="shared" si="18"/>
        <v>Coors Original 24TC +$4.1 to $57.99</v>
      </c>
      <c r="O166">
        <f t="shared" si="19"/>
        <v>107.60809055483391</v>
      </c>
    </row>
    <row r="167" spans="1:15" ht="15.5" customHeight="1">
      <c r="A167" s="14">
        <v>1046172</v>
      </c>
      <c r="B167" s="15" t="s">
        <v>16</v>
      </c>
      <c r="C167" s="15" t="s">
        <v>40</v>
      </c>
      <c r="D167" s="15" t="s">
        <v>142</v>
      </c>
      <c r="E167" s="14" t="s">
        <v>23</v>
      </c>
      <c r="F167" s="14">
        <v>355</v>
      </c>
      <c r="G167" s="15" t="s">
        <v>30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16"/>
        <v>C</v>
      </c>
      <c r="M167" s="1" t="str">
        <f t="shared" si="17"/>
        <v>+</v>
      </c>
      <c r="N167" t="str">
        <f t="shared" si="18"/>
        <v>Busch Light 30C +$4.5 to $47.99</v>
      </c>
      <c r="O167">
        <f t="shared" si="19"/>
        <v>110.34720625431133</v>
      </c>
    </row>
    <row r="168" spans="1:15" ht="15.5" customHeight="1">
      <c r="A168" s="14">
        <v>1056100</v>
      </c>
      <c r="B168" s="15" t="s">
        <v>16</v>
      </c>
      <c r="C168" s="15" t="s">
        <v>42</v>
      </c>
      <c r="D168" s="15" t="s">
        <v>71</v>
      </c>
      <c r="E168" s="14" t="s">
        <v>19</v>
      </c>
      <c r="F168" s="14">
        <v>341</v>
      </c>
      <c r="G168" s="15" t="s">
        <v>20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16"/>
        <v>B</v>
      </c>
      <c r="M168" s="1" t="str">
        <f t="shared" si="17"/>
        <v>+</v>
      </c>
      <c r="N168" t="str">
        <f t="shared" si="18"/>
        <v>Molson Canadian 28B +$4.5 to $43.49</v>
      </c>
      <c r="O168">
        <f t="shared" si="19"/>
        <v>111.54142087714798</v>
      </c>
    </row>
    <row r="169" spans="1:15" ht="15.5" customHeight="1">
      <c r="A169" s="14">
        <v>2109048</v>
      </c>
      <c r="B169" s="15" t="s">
        <v>33</v>
      </c>
      <c r="C169" s="15" t="s">
        <v>136</v>
      </c>
      <c r="D169" s="15" t="s">
        <v>137</v>
      </c>
      <c r="E169" s="14" t="s">
        <v>132</v>
      </c>
      <c r="F169" s="14">
        <v>19000</v>
      </c>
      <c r="G169" s="15" t="s">
        <v>143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20">IF(F169&gt;355,"TC",LEFT(E169,1))</f>
        <v>TC</v>
      </c>
      <c r="M169" s="1" t="str">
        <f t="shared" ref="M169:M190" si="21">IF(K169&gt;0,"+","-")</f>
        <v>+</v>
      </c>
      <c r="N169" t="str">
        <f t="shared" ref="N169:N190" si="22">PROPER($D169)&amp;" "&amp;$H169&amp;$L169&amp;" "&amp;$M169&amp;"$"&amp;ABS($K169)&amp;" to $"&amp;$J169</f>
        <v>Asahi Super Dry 1TC +$4.99 to $123</v>
      </c>
      <c r="O169">
        <f t="shared" ref="O169:O190" si="23">(J169/I169)*100</f>
        <v>104.22845521565969</v>
      </c>
    </row>
    <row r="170" spans="1:15" ht="15.5" customHeight="1">
      <c r="A170" s="14">
        <v>1709112</v>
      </c>
      <c r="B170" s="15" t="s">
        <v>16</v>
      </c>
      <c r="C170" s="15" t="s">
        <v>28</v>
      </c>
      <c r="D170" s="15" t="s">
        <v>111</v>
      </c>
      <c r="E170" s="14" t="s">
        <v>23</v>
      </c>
      <c r="F170" s="14">
        <v>473</v>
      </c>
      <c r="G170" s="15" t="s">
        <v>52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20"/>
        <v>TC</v>
      </c>
      <c r="M170" s="1" t="str">
        <f t="shared" si="21"/>
        <v>+</v>
      </c>
      <c r="N170" t="str">
        <f t="shared" si="22"/>
        <v>Beau'S Lug Tread 48TC +$5 to $115.99</v>
      </c>
      <c r="O170">
        <f t="shared" si="23"/>
        <v>104.504910352284</v>
      </c>
    </row>
    <row r="171" spans="1:15" ht="15.5" customHeight="1">
      <c r="A171" s="14">
        <v>1250013</v>
      </c>
      <c r="B171" s="15" t="s">
        <v>16</v>
      </c>
      <c r="C171" s="15" t="s">
        <v>144</v>
      </c>
      <c r="D171" s="15" t="s">
        <v>145</v>
      </c>
      <c r="E171" s="14" t="s">
        <v>19</v>
      </c>
      <c r="F171" s="14">
        <v>330</v>
      </c>
      <c r="G171" s="15" t="s">
        <v>36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20"/>
        <v>B</v>
      </c>
      <c r="M171" s="1" t="str">
        <f t="shared" si="21"/>
        <v>+</v>
      </c>
      <c r="N171" t="str">
        <f t="shared" si="22"/>
        <v>Peroni 24B +$5 to $49.99</v>
      </c>
      <c r="O171">
        <f t="shared" si="23"/>
        <v>111.11358079573239</v>
      </c>
    </row>
    <row r="172" spans="1:15" ht="15.5" customHeight="1">
      <c r="A172" s="14">
        <v>3879041</v>
      </c>
      <c r="B172" s="15" t="s">
        <v>16</v>
      </c>
      <c r="C172" s="15" t="s">
        <v>50</v>
      </c>
      <c r="D172" s="15" t="s">
        <v>51</v>
      </c>
      <c r="E172" s="14" t="s">
        <v>23</v>
      </c>
      <c r="F172" s="14">
        <v>473</v>
      </c>
      <c r="G172" s="15" t="s">
        <v>52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20"/>
        <v>TC</v>
      </c>
      <c r="M172" s="1" t="str">
        <f t="shared" si="21"/>
        <v>+</v>
      </c>
      <c r="N172" t="str">
        <f t="shared" si="22"/>
        <v>Gone Fishin Light 24TC +$5 to $58.99</v>
      </c>
      <c r="O172">
        <f t="shared" si="23"/>
        <v>109.26097425449157</v>
      </c>
    </row>
    <row r="173" spans="1:15" ht="15.5" customHeight="1">
      <c r="A173" s="14">
        <v>3154041</v>
      </c>
      <c r="B173" s="15" t="s">
        <v>16</v>
      </c>
      <c r="C173" s="15" t="s">
        <v>50</v>
      </c>
      <c r="D173" s="15" t="s">
        <v>53</v>
      </c>
      <c r="E173" s="14" t="s">
        <v>23</v>
      </c>
      <c r="F173" s="14">
        <v>473</v>
      </c>
      <c r="G173" s="15" t="s">
        <v>52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20"/>
        <v>TC</v>
      </c>
      <c r="M173" s="1" t="str">
        <f t="shared" si="21"/>
        <v>+</v>
      </c>
      <c r="N173" t="str">
        <f t="shared" si="22"/>
        <v>Longhorn Lager 24TC +$5 to $59.99</v>
      </c>
      <c r="O173">
        <f t="shared" si="23"/>
        <v>109.09256228405164</v>
      </c>
    </row>
    <row r="174" spans="1:15" ht="15.5" customHeight="1">
      <c r="A174" s="14">
        <v>1143013</v>
      </c>
      <c r="B174" s="15" t="s">
        <v>16</v>
      </c>
      <c r="C174" s="15" t="s">
        <v>34</v>
      </c>
      <c r="D174" s="15" t="s">
        <v>35</v>
      </c>
      <c r="E174" s="14" t="s">
        <v>19</v>
      </c>
      <c r="F174" s="14">
        <v>330</v>
      </c>
      <c r="G174" s="15" t="s">
        <v>36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20"/>
        <v>B</v>
      </c>
      <c r="M174" s="1" t="str">
        <f t="shared" si="21"/>
        <v>+</v>
      </c>
      <c r="N174" t="str">
        <f t="shared" si="22"/>
        <v>Heineken Nv 24B +$5 to $49.99</v>
      </c>
      <c r="O174">
        <f t="shared" si="23"/>
        <v>111.11358079573239</v>
      </c>
    </row>
    <row r="175" spans="1:15" ht="15.5" customHeight="1">
      <c r="A175" s="14">
        <v>1041172</v>
      </c>
      <c r="B175" s="15" t="s">
        <v>16</v>
      </c>
      <c r="C175" s="15" t="s">
        <v>40</v>
      </c>
      <c r="D175" s="15" t="s">
        <v>76</v>
      </c>
      <c r="E175" s="14" t="s">
        <v>23</v>
      </c>
      <c r="F175" s="14">
        <v>355</v>
      </c>
      <c r="G175" s="15" t="s">
        <v>30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20"/>
        <v>C</v>
      </c>
      <c r="M175" s="1" t="str">
        <f t="shared" si="21"/>
        <v>+</v>
      </c>
      <c r="N175" t="str">
        <f t="shared" si="22"/>
        <v>Bud Light 30C +$5 to $50.99</v>
      </c>
      <c r="O175">
        <f t="shared" si="23"/>
        <v>110.87192868014786</v>
      </c>
    </row>
    <row r="176" spans="1:15" ht="15.5" customHeight="1">
      <c r="A176" s="14">
        <v>3916041</v>
      </c>
      <c r="B176" s="15" t="s">
        <v>16</v>
      </c>
      <c r="C176" s="15" t="s">
        <v>40</v>
      </c>
      <c r="D176" s="15" t="s">
        <v>124</v>
      </c>
      <c r="E176" s="14" t="s">
        <v>23</v>
      </c>
      <c r="F176" s="14">
        <v>473</v>
      </c>
      <c r="G176" s="15" t="s">
        <v>52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20"/>
        <v>TC</v>
      </c>
      <c r="M176" s="1" t="str">
        <f t="shared" si="21"/>
        <v>+</v>
      </c>
      <c r="N176" t="str">
        <f t="shared" si="22"/>
        <v>Bud Light Lemon Lime 24TC +$5 to $57.49</v>
      </c>
      <c r="O176">
        <f t="shared" si="23"/>
        <v>109.52562392836731</v>
      </c>
    </row>
    <row r="177" spans="1:15" ht="15.5" customHeight="1">
      <c r="A177" s="14">
        <v>3919033</v>
      </c>
      <c r="B177" s="15" t="s">
        <v>16</v>
      </c>
      <c r="C177" s="15" t="s">
        <v>40</v>
      </c>
      <c r="D177" s="15" t="s">
        <v>125</v>
      </c>
      <c r="E177" s="14" t="s">
        <v>23</v>
      </c>
      <c r="F177" s="14">
        <v>355</v>
      </c>
      <c r="G177" s="15" t="s">
        <v>30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20"/>
        <v>C</v>
      </c>
      <c r="M177" s="1" t="str">
        <f t="shared" si="21"/>
        <v>+</v>
      </c>
      <c r="N177" t="str">
        <f t="shared" si="22"/>
        <v>Bud Light Lime Time 24C +$5 to $49.99</v>
      </c>
      <c r="O177">
        <f t="shared" si="23"/>
        <v>111.11358079573239</v>
      </c>
    </row>
    <row r="178" spans="1:15" ht="15.5" customHeight="1">
      <c r="A178" s="14">
        <v>2598013</v>
      </c>
      <c r="B178" s="15" t="s">
        <v>16</v>
      </c>
      <c r="C178" s="15" t="s">
        <v>40</v>
      </c>
      <c r="D178" s="15" t="s">
        <v>77</v>
      </c>
      <c r="E178" s="14" t="s">
        <v>19</v>
      </c>
      <c r="F178" s="14">
        <v>330</v>
      </c>
      <c r="G178" s="15" t="s">
        <v>36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20"/>
        <v>B</v>
      </c>
      <c r="M178" s="1" t="str">
        <f t="shared" si="21"/>
        <v>+</v>
      </c>
      <c r="N178" t="str">
        <f t="shared" si="22"/>
        <v>Stella Artois 24B +$5 to $49.99</v>
      </c>
      <c r="O178">
        <f t="shared" si="23"/>
        <v>111.11358079573239</v>
      </c>
    </row>
    <row r="179" spans="1:15" ht="15.5" customHeight="1">
      <c r="A179" s="14">
        <v>1060172</v>
      </c>
      <c r="B179" s="15" t="s">
        <v>16</v>
      </c>
      <c r="C179" s="15" t="s">
        <v>42</v>
      </c>
      <c r="D179" s="15" t="s">
        <v>56</v>
      </c>
      <c r="E179" s="14" t="s">
        <v>23</v>
      </c>
      <c r="F179" s="14">
        <v>355</v>
      </c>
      <c r="G179" s="15" t="s">
        <v>30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20"/>
        <v>C</v>
      </c>
      <c r="M179" s="1" t="str">
        <f t="shared" si="21"/>
        <v>+</v>
      </c>
      <c r="N179" t="str">
        <f t="shared" si="22"/>
        <v>Coors Light 30C +$5 to $50.99</v>
      </c>
      <c r="O179">
        <f t="shared" si="23"/>
        <v>110.87192868014786</v>
      </c>
    </row>
    <row r="180" spans="1:15" ht="15.5" customHeight="1">
      <c r="A180" s="14">
        <v>1065091</v>
      </c>
      <c r="B180" s="15" t="s">
        <v>33</v>
      </c>
      <c r="C180" s="15" t="s">
        <v>17</v>
      </c>
      <c r="D180" s="15" t="s">
        <v>18</v>
      </c>
      <c r="E180" s="14" t="s">
        <v>132</v>
      </c>
      <c r="F180" s="14">
        <v>20000</v>
      </c>
      <c r="G180" s="15" t="s">
        <v>146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20"/>
        <v>TC</v>
      </c>
      <c r="M180" s="1" t="str">
        <f t="shared" si="21"/>
        <v>+</v>
      </c>
      <c r="N180" t="str">
        <f t="shared" si="22"/>
        <v>Steam Whistle 1TC +$5 to $145.95</v>
      </c>
      <c r="O180">
        <f t="shared" si="23"/>
        <v>103.54735721887194</v>
      </c>
    </row>
    <row r="181" spans="1:15" ht="15.5" customHeight="1">
      <c r="A181" s="14">
        <v>1065091</v>
      </c>
      <c r="B181" s="15" t="s">
        <v>16</v>
      </c>
      <c r="C181" s="15" t="s">
        <v>17</v>
      </c>
      <c r="D181" s="15" t="s">
        <v>18</v>
      </c>
      <c r="E181" s="14" t="s">
        <v>132</v>
      </c>
      <c r="F181" s="14">
        <v>20000</v>
      </c>
      <c r="G181" s="15" t="s">
        <v>146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20"/>
        <v>TC</v>
      </c>
      <c r="M181" s="1" t="str">
        <f t="shared" si="21"/>
        <v>+</v>
      </c>
      <c r="N181" t="str">
        <f t="shared" si="22"/>
        <v>Steam Whistle 1TC +$5 to $145.95</v>
      </c>
      <c r="O181">
        <f t="shared" si="23"/>
        <v>103.54735721887194</v>
      </c>
    </row>
    <row r="182" spans="1:15" ht="15.5" customHeight="1">
      <c r="A182" s="14">
        <v>3891482</v>
      </c>
      <c r="B182" s="15" t="s">
        <v>16</v>
      </c>
      <c r="C182" s="15" t="s">
        <v>34</v>
      </c>
      <c r="D182" s="15" t="s">
        <v>37</v>
      </c>
      <c r="E182" s="14" t="s">
        <v>23</v>
      </c>
      <c r="F182" s="14">
        <v>330</v>
      </c>
      <c r="G182" s="15" t="s">
        <v>147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20"/>
        <v>C</v>
      </c>
      <c r="M182" s="1" t="str">
        <f t="shared" si="21"/>
        <v>+</v>
      </c>
      <c r="N182" t="str">
        <f t="shared" si="22"/>
        <v>Heineken Silver 24C +$5.7 to $50.69</v>
      </c>
      <c r="O182">
        <f t="shared" si="23"/>
        <v>112.6694821071349</v>
      </c>
    </row>
    <row r="183" spans="1:15" ht="15.5" customHeight="1">
      <c r="A183" s="14">
        <v>1873172</v>
      </c>
      <c r="B183" s="15" t="s">
        <v>16</v>
      </c>
      <c r="C183" s="15" t="s">
        <v>42</v>
      </c>
      <c r="D183" s="15" t="s">
        <v>59</v>
      </c>
      <c r="E183" s="14" t="s">
        <v>23</v>
      </c>
      <c r="F183" s="14">
        <v>355</v>
      </c>
      <c r="G183" s="15" t="s">
        <v>30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20"/>
        <v>C</v>
      </c>
      <c r="M183" s="1" t="str">
        <f t="shared" si="21"/>
        <v>+</v>
      </c>
      <c r="N183" t="str">
        <f t="shared" si="22"/>
        <v>Miller Lite 30C +$6 to $51.99</v>
      </c>
      <c r="O183">
        <f t="shared" si="23"/>
        <v>113.04631441617742</v>
      </c>
    </row>
    <row r="184" spans="1:15" ht="15.5" customHeight="1">
      <c r="A184" s="14">
        <v>1933621</v>
      </c>
      <c r="B184" s="15" t="s">
        <v>33</v>
      </c>
      <c r="C184" s="15" t="s">
        <v>148</v>
      </c>
      <c r="D184" s="15" t="s">
        <v>149</v>
      </c>
      <c r="E184" s="14" t="s">
        <v>132</v>
      </c>
      <c r="F184" s="14">
        <v>20000</v>
      </c>
      <c r="G184" s="15" t="s">
        <v>146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20"/>
        <v>TC</v>
      </c>
      <c r="M184" s="1" t="str">
        <f t="shared" si="21"/>
        <v>+</v>
      </c>
      <c r="N184" t="str">
        <f t="shared" si="22"/>
        <v>Delirium Red 1TC +$6.24 to $214.16</v>
      </c>
      <c r="O184">
        <f t="shared" si="23"/>
        <v>103.00115429011159</v>
      </c>
    </row>
    <row r="185" spans="1:15" ht="15.5" customHeight="1">
      <c r="A185" s="14">
        <v>3715041</v>
      </c>
      <c r="B185" s="15" t="s">
        <v>16</v>
      </c>
      <c r="C185" s="15" t="s">
        <v>50</v>
      </c>
      <c r="D185" s="15" t="s">
        <v>54</v>
      </c>
      <c r="E185" s="14" t="s">
        <v>23</v>
      </c>
      <c r="F185" s="14">
        <v>473</v>
      </c>
      <c r="G185" s="15" t="s">
        <v>52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20"/>
        <v>TC</v>
      </c>
      <c r="M185" s="1" t="str">
        <f t="shared" si="21"/>
        <v>+</v>
      </c>
      <c r="N185" t="str">
        <f t="shared" si="22"/>
        <v>Rough Stock Ipa 24TC +$7 to $69.99</v>
      </c>
      <c r="O185">
        <f t="shared" si="23"/>
        <v>111.11287505953325</v>
      </c>
    </row>
    <row r="186" spans="1:15" ht="15.5" customHeight="1">
      <c r="A186" s="14">
        <v>1599211</v>
      </c>
      <c r="B186" s="15" t="s">
        <v>16</v>
      </c>
      <c r="C186" s="15" t="s">
        <v>31</v>
      </c>
      <c r="D186" s="15" t="s">
        <v>60</v>
      </c>
      <c r="E186" s="14" t="s">
        <v>23</v>
      </c>
      <c r="F186" s="14">
        <v>355</v>
      </c>
      <c r="G186" s="15" t="s">
        <v>30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20"/>
        <v>C</v>
      </c>
      <c r="M186" s="1" t="str">
        <f t="shared" si="21"/>
        <v>+</v>
      </c>
      <c r="N186" t="str">
        <f t="shared" si="22"/>
        <v>Muskoka Detour 48C +$8 to $94.99</v>
      </c>
      <c r="O186">
        <f t="shared" si="23"/>
        <v>109.19645936314519</v>
      </c>
    </row>
    <row r="187" spans="1:15" ht="15.5" customHeight="1">
      <c r="A187" s="14">
        <v>1709211</v>
      </c>
      <c r="B187" s="15" t="s">
        <v>16</v>
      </c>
      <c r="C187" s="15" t="s">
        <v>28</v>
      </c>
      <c r="D187" s="15" t="s">
        <v>111</v>
      </c>
      <c r="E187" s="14" t="s">
        <v>23</v>
      </c>
      <c r="F187" s="14">
        <v>355</v>
      </c>
      <c r="G187" s="15" t="s">
        <v>30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20"/>
        <v>C</v>
      </c>
      <c r="M187" s="1" t="str">
        <f t="shared" si="21"/>
        <v>+</v>
      </c>
      <c r="N187" t="str">
        <f t="shared" si="22"/>
        <v>Beau'S Lug Tread 48C +$10 to $94.79</v>
      </c>
      <c r="O187">
        <f t="shared" si="23"/>
        <v>111.7938436136337</v>
      </c>
    </row>
    <row r="188" spans="1:15" ht="15.5" customHeight="1">
      <c r="A188" s="14">
        <v>1496224</v>
      </c>
      <c r="B188" s="15" t="s">
        <v>16</v>
      </c>
      <c r="C188" s="15" t="s">
        <v>25</v>
      </c>
      <c r="D188" s="15" t="s">
        <v>150</v>
      </c>
      <c r="E188" s="14" t="s">
        <v>23</v>
      </c>
      <c r="F188" s="14">
        <v>355</v>
      </c>
      <c r="G188" s="15" t="s">
        <v>30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20"/>
        <v>C</v>
      </c>
      <c r="M188" s="1" t="str">
        <f t="shared" si="21"/>
        <v>+</v>
      </c>
      <c r="N188" t="str">
        <f t="shared" si="22"/>
        <v>Pabst Blue Ribbon 60C +$10 to $90.99</v>
      </c>
      <c r="O188">
        <f t="shared" si="23"/>
        <v>112.3472033584393</v>
      </c>
    </row>
    <row r="189" spans="1:15" ht="15.5" customHeight="1">
      <c r="A189" s="14">
        <v>1065211</v>
      </c>
      <c r="B189" s="15" t="s">
        <v>16</v>
      </c>
      <c r="C189" s="15" t="s">
        <v>17</v>
      </c>
      <c r="D189" s="15" t="s">
        <v>18</v>
      </c>
      <c r="E189" s="14" t="s">
        <v>23</v>
      </c>
      <c r="F189" s="14">
        <v>355</v>
      </c>
      <c r="G189" s="15" t="s">
        <v>30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20"/>
        <v>C</v>
      </c>
      <c r="M189" s="1" t="str">
        <f t="shared" si="21"/>
        <v>+</v>
      </c>
      <c r="N189" t="str">
        <f t="shared" si="22"/>
        <v>Steam Whistle 48C +$10 to $92.99</v>
      </c>
      <c r="O189">
        <f t="shared" si="23"/>
        <v>112.04964453548621</v>
      </c>
    </row>
    <row r="190" spans="1:15" ht="15.5" customHeight="1">
      <c r="A190" s="14">
        <v>1363130</v>
      </c>
      <c r="B190" s="15" t="s">
        <v>16</v>
      </c>
      <c r="C190" s="15" t="s">
        <v>151</v>
      </c>
      <c r="D190" s="15" t="s">
        <v>152</v>
      </c>
      <c r="E190" s="14" t="s">
        <v>23</v>
      </c>
      <c r="F190" s="14">
        <v>500</v>
      </c>
      <c r="G190" s="15" t="s">
        <v>24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20"/>
        <v>TC</v>
      </c>
      <c r="M190" s="1" t="str">
        <f t="shared" si="21"/>
        <v>+</v>
      </c>
      <c r="N190" t="str">
        <f t="shared" si="22"/>
        <v>Benediktiner Weiss 24TC +$59.82 to $59.82</v>
      </c>
      <c r="O190" t="e">
        <f t="shared" si="23"/>
        <v>#DIV/0!</v>
      </c>
    </row>
  </sheetData>
  <autoFilter ref="A8:L190" xr:uid="{00000000-0009-0000-0000-000000000000}"/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Canton, Maria</dc:creator>
  <cp:lastModifiedBy>Singhal, Aaditya</cp:lastModifiedBy>
  <dcterms:created xsi:type="dcterms:W3CDTF">2025-10-06T10:46:30Z</dcterms:created>
  <dcterms:modified xsi:type="dcterms:W3CDTF">2025-11-11T16:38:23Z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